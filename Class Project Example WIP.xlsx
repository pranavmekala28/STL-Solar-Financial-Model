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4EB9D3E2-6779-47E7-995D-875750E48DC5}" xr6:coauthVersionLast="47" xr6:coauthVersionMax="47" xr10:uidLastSave="{00000000-0000-0000-0000-000000000000}"/>
  <bookViews>
    <workbookView xWindow="-96" yWindow="-96" windowWidth="17472" windowHeight="10992" tabRatio="822" firstSheet="3" activeTab="3" xr2:uid="{A635C106-7EB4-4AD2-A2EC-F824368A96AD}"/>
  </bookViews>
  <sheets>
    <sheet name="Table of Content" sheetId="14" r:id="rId1"/>
    <sheet name="Overview" sheetId="10" r:id="rId2"/>
    <sheet name="Influence Chart" sheetId="11" r:id="rId3"/>
    <sheet name="Summary Inputs &amp; Assumptions" sheetId="1" r:id="rId4"/>
    <sheet name="Financial Statements" sheetId="3" r:id="rId5"/>
    <sheet name="Debt" sheetId="5" r:id="rId6"/>
    <sheet name="Capital Contribution Schedule" sheetId="6" r:id="rId7"/>
  </sheets>
  <definedNames>
    <definedName name="All_in_Development_Cost">Overview!$D$27</definedName>
    <definedName name="Amortization_period">Overview!$D$47</definedName>
    <definedName name="Annual_Degradation">Overview!$D$19</definedName>
    <definedName name="Asset_Mgmt">Overview!$D$34</definedName>
    <definedName name="Capacity_Factor">Overview!$D$18</definedName>
    <definedName name="CO2_offset">Overview!$D$50</definedName>
    <definedName name="Construction_Start_Date">Overview!$D$10</definedName>
    <definedName name="Construction_Time">Overview!$D$28</definedName>
    <definedName name="Debt_Coverage_P50">Overview!$D$45</definedName>
    <definedName name="Debt_Coverage_P99">Overview!$D$46</definedName>
    <definedName name="Depreciation">Overview!$D$39</definedName>
    <definedName name="Insurance">Overview!$D$30</definedName>
    <definedName name="Interest_Rate">Overview!$D$48</definedName>
    <definedName name="Irradiation">Overview!$D$16</definedName>
    <definedName name="ITC_Percentage">Overview!$D$42</definedName>
    <definedName name="Land_Cost">Overview!$DF$26</definedName>
    <definedName name="Max_Debt">Debt!$B$2:$C$2</definedName>
    <definedName name="O_M">Overview!$D$31</definedName>
    <definedName name="O_M_Annual_Escalation">Overview!$D$36</definedName>
    <definedName name="Operating_Life">Overview!$D$12</definedName>
    <definedName name="Other">Overview!$D$35</definedName>
    <definedName name="Percentage_of_production_in_Year_1">Overview!$D$20</definedName>
    <definedName name="Placement_in_Service_Date">Overview!$D$11</definedName>
    <definedName name="PPA_Escalator">Overview!$D$23</definedName>
    <definedName name="PPA_Rate">Overview!$D$22</definedName>
    <definedName name="PPA_Term">Overview!$D$24</definedName>
    <definedName name="_xlnm.Print_Area" localSheetId="6">'Capital Contribution Schedule'!$A$1:$E$36</definedName>
    <definedName name="_xlnm.Print_Area" localSheetId="5">Debt!$B$2:$K$45</definedName>
    <definedName name="_xlnm.Print_Area" localSheetId="4">'Financial Statements'!$B$1:$R$98</definedName>
    <definedName name="_xlnm.Print_Area" localSheetId="3">'Summary Inputs &amp; Assumptions'!$B$2:$L$12</definedName>
    <definedName name="_xlnm.Print_Area" localSheetId="0">'Table of Content'!$A$1:$D$26</definedName>
    <definedName name="Project_Size_AC">Overview!$D$14</definedName>
    <definedName name="Project_Size_DC">Overview!$D$15</definedName>
    <definedName name="Property_Tax">Overview!$D$33</definedName>
    <definedName name="Site_Lease">Overview!$D$32</definedName>
    <definedName name="Site_Leaset_Annual_Escalation">Overview!$D$37</definedName>
    <definedName name="Tax_Rate">Overview!$D$41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Yield">Overview!$D$17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4" l="1"/>
  <c r="A1" i="14"/>
  <c r="C1" i="14"/>
  <c r="S22" i="1"/>
  <c r="O21" i="1"/>
  <c r="B2" i="3"/>
  <c r="W13" i="1"/>
  <c r="R13" i="1"/>
  <c r="S13" i="1"/>
  <c r="T13" i="1"/>
  <c r="Q13" i="1"/>
  <c r="P16" i="1"/>
  <c r="P17" i="1"/>
  <c r="P18" i="1"/>
  <c r="P19" i="1"/>
  <c r="P15" i="1"/>
  <c r="C4" i="5"/>
  <c r="Q38" i="1"/>
  <c r="Q40" i="1"/>
  <c r="Q39" i="1"/>
  <c r="D44" i="1"/>
  <c r="D43" i="1"/>
  <c r="D42" i="1"/>
  <c r="D41" i="1"/>
  <c r="D40" i="1"/>
  <c r="F31" i="1"/>
  <c r="C3" i="5" l="1"/>
  <c r="Q41" i="1"/>
  <c r="C32" i="3" l="1"/>
  <c r="L44" i="1"/>
  <c r="L24" i="1"/>
  <c r="L17" i="1"/>
  <c r="F29" i="1"/>
  <c r="F28" i="1"/>
  <c r="U10" i="1"/>
  <c r="T7" i="1"/>
  <c r="L15" i="1"/>
  <c r="S7" i="1" l="1"/>
  <c r="S15" i="1" s="1"/>
  <c r="T15" i="1"/>
  <c r="D15" i="10"/>
  <c r="E9" i="3" s="1"/>
  <c r="G18" i="1"/>
  <c r="D39" i="1"/>
  <c r="F23" i="1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D10" i="3"/>
  <c r="AB9" i="3" l="1"/>
  <c r="T9" i="3"/>
  <c r="G19" i="1"/>
  <c r="L16" i="1" s="1"/>
  <c r="S9" i="3"/>
  <c r="R9" i="3"/>
  <c r="AG9" i="3"/>
  <c r="Q9" i="3"/>
  <c r="P9" i="3"/>
  <c r="D9" i="3"/>
  <c r="AF9" i="3"/>
  <c r="O9" i="3"/>
  <c r="AD9" i="3"/>
  <c r="N9" i="3"/>
  <c r="AE9" i="3"/>
  <c r="AC9" i="3"/>
  <c r="M9" i="3"/>
  <c r="K9" i="3"/>
  <c r="J9" i="3"/>
  <c r="I9" i="3"/>
  <c r="Y9" i="3"/>
  <c r="X9" i="3"/>
  <c r="H9" i="3"/>
  <c r="G9" i="3"/>
  <c r="L9" i="3"/>
  <c r="Z9" i="3"/>
  <c r="W9" i="3"/>
  <c r="V9" i="3"/>
  <c r="F9" i="3"/>
  <c r="AA9" i="3"/>
  <c r="U9" i="3"/>
  <c r="E3" i="5" l="1"/>
  <c r="F3" i="5"/>
  <c r="R7" i="1" l="1"/>
  <c r="R15" i="1" s="1"/>
  <c r="J43" i="5" l="1"/>
  <c r="G40" i="5"/>
  <c r="G44" i="5"/>
  <c r="D6" i="3"/>
  <c r="D13" i="3" l="1"/>
  <c r="D20" i="3" s="1"/>
  <c r="D12" i="3"/>
  <c r="D11" i="3"/>
  <c r="G35" i="5"/>
  <c r="G39" i="5"/>
  <c r="G43" i="5"/>
  <c r="G37" i="5"/>
  <c r="G41" i="5"/>
  <c r="G36" i="5"/>
  <c r="G33" i="5"/>
  <c r="G42" i="5"/>
  <c r="G38" i="5"/>
  <c r="G34" i="5"/>
  <c r="D21" i="3" l="1"/>
  <c r="D23" i="3"/>
  <c r="D19" i="3"/>
  <c r="D22" i="3"/>
  <c r="D18" i="3"/>
  <c r="K43" i="5"/>
  <c r="Q7" i="1"/>
  <c r="B15" i="6"/>
  <c r="P24" i="1" s="1"/>
  <c r="C45" i="3"/>
  <c r="C80" i="3" s="1"/>
  <c r="D7" i="5"/>
  <c r="T10" i="1" l="1"/>
  <c r="T18" i="1" s="1"/>
  <c r="Q15" i="1"/>
  <c r="T8" i="1"/>
  <c r="B16" i="6"/>
  <c r="P25" i="1" s="1"/>
  <c r="T9" i="1" l="1"/>
  <c r="T17" i="1" s="1"/>
  <c r="T16" i="1"/>
  <c r="T11" i="1"/>
  <c r="T19" i="1" s="1"/>
  <c r="S10" i="1"/>
  <c r="S18" i="1" s="1"/>
  <c r="R10" i="1"/>
  <c r="R18" i="1" s="1"/>
  <c r="Q10" i="1"/>
  <c r="Q18" i="1" s="1"/>
  <c r="S8" i="1"/>
  <c r="S16" i="1" s="1"/>
  <c r="R8" i="1"/>
  <c r="R16" i="1" s="1"/>
  <c r="Q8" i="1"/>
  <c r="Q16" i="1" s="1"/>
  <c r="B17" i="6"/>
  <c r="P26" i="1" s="1"/>
  <c r="R9" i="1" l="1"/>
  <c r="R17" i="1" s="1"/>
  <c r="Q9" i="1"/>
  <c r="Q17" i="1" s="1"/>
  <c r="L45" i="1"/>
  <c r="S9" i="1"/>
  <c r="S17" i="1" s="1"/>
  <c r="S11" i="1"/>
  <c r="S19" i="1" s="1"/>
  <c r="R11" i="1"/>
  <c r="R19" i="1" s="1"/>
  <c r="Q11" i="1"/>
  <c r="Q19" i="1" s="1"/>
  <c r="B18" i="6"/>
  <c r="P27" i="1" s="1"/>
  <c r="B19" i="6" l="1"/>
  <c r="P28" i="1" s="1"/>
  <c r="B20" i="6" l="1"/>
  <c r="P29" i="1" s="1"/>
  <c r="B21" i="6" l="1"/>
  <c r="P30" i="1" s="1"/>
  <c r="B22" i="6" l="1"/>
  <c r="P31" i="1" s="1"/>
  <c r="B23" i="6" l="1"/>
  <c r="P32" i="1" s="1"/>
  <c r="B8" i="5"/>
  <c r="C7" i="5"/>
  <c r="C19" i="3"/>
  <c r="C20" i="3"/>
  <c r="C21" i="3"/>
  <c r="C22" i="3"/>
  <c r="C23" i="3"/>
  <c r="C18" i="3"/>
  <c r="B17" i="3"/>
  <c r="C12" i="3"/>
  <c r="C11" i="3"/>
  <c r="C10" i="3"/>
  <c r="C9" i="3"/>
  <c r="B24" i="6" l="1"/>
  <c r="P33" i="1" s="1"/>
  <c r="B9" i="5"/>
  <c r="D45" i="3"/>
  <c r="B25" i="6" l="1"/>
  <c r="P34" i="1" s="1"/>
  <c r="D80" i="3"/>
  <c r="B10" i="5"/>
  <c r="B26" i="6" l="1"/>
  <c r="B11" i="5"/>
  <c r="B27" i="6" l="1"/>
  <c r="B12" i="5"/>
  <c r="B28" i="6" l="1"/>
  <c r="B13" i="5"/>
  <c r="B29" i="6" l="1"/>
  <c r="B14" i="5"/>
  <c r="B30" i="6" l="1"/>
  <c r="B15" i="5"/>
  <c r="B31" i="6" l="1"/>
  <c r="B16" i="5"/>
  <c r="B32" i="6" l="1"/>
  <c r="B17" i="5"/>
  <c r="B33" i="6" l="1"/>
  <c r="B18" i="5"/>
  <c r="B34" i="6" l="1"/>
  <c r="B19" i="5"/>
  <c r="B20" i="5" l="1"/>
  <c r="B21" i="5" l="1"/>
  <c r="B22" i="5" l="1"/>
  <c r="F24" i="1" l="1"/>
  <c r="F26" i="1" s="1"/>
  <c r="L38" i="1"/>
  <c r="B23" i="5"/>
  <c r="D15" i="3"/>
  <c r="L23" i="1" l="1"/>
  <c r="C3" i="6"/>
  <c r="D3" i="6" s="1"/>
  <c r="D24" i="3"/>
  <c r="B24" i="5"/>
  <c r="D52" i="3"/>
  <c r="C7" i="6"/>
  <c r="C17" i="6" l="1"/>
  <c r="Q26" i="1" s="1"/>
  <c r="C16" i="6"/>
  <c r="Q25" i="1" s="1"/>
  <c r="C15" i="6"/>
  <c r="Q24" i="1" s="1"/>
  <c r="C18" i="6"/>
  <c r="Q27" i="1" s="1"/>
  <c r="C19" i="6"/>
  <c r="Q28" i="1" s="1"/>
  <c r="C20" i="6"/>
  <c r="Q29" i="1" s="1"/>
  <c r="C21" i="6"/>
  <c r="Q30" i="1" s="1"/>
  <c r="C22" i="6"/>
  <c r="Q31" i="1" s="1"/>
  <c r="C23" i="6"/>
  <c r="Q32" i="1" s="1"/>
  <c r="C24" i="6"/>
  <c r="Q33" i="1" s="1"/>
  <c r="C25" i="6"/>
  <c r="Q34" i="1" s="1"/>
  <c r="C26" i="6"/>
  <c r="C27" i="6"/>
  <c r="C28" i="6"/>
  <c r="C29" i="6"/>
  <c r="C30" i="6"/>
  <c r="C31" i="6"/>
  <c r="C32" i="6"/>
  <c r="C33" i="6"/>
  <c r="C34" i="6"/>
  <c r="D88" i="3"/>
  <c r="D53" i="3"/>
  <c r="B25" i="5"/>
  <c r="D67" i="3"/>
  <c r="C36" i="6" l="1"/>
  <c r="D26" i="3"/>
  <c r="D35" i="3" s="1"/>
  <c r="D32" i="3" s="1"/>
  <c r="D83" i="3"/>
  <c r="D37" i="3"/>
  <c r="B26" i="5"/>
  <c r="D54" i="3"/>
  <c r="B27" i="5" l="1"/>
  <c r="B28" i="5" l="1"/>
  <c r="B29" i="5" l="1"/>
  <c r="B30" i="5" l="1"/>
  <c r="B31" i="5" l="1"/>
  <c r="B32" i="5" l="1"/>
  <c r="B33" i="5" l="1"/>
  <c r="F33" i="5" l="1"/>
  <c r="E33" i="5"/>
  <c r="B34" i="5"/>
  <c r="E34" i="5" l="1"/>
  <c r="F34" i="5"/>
  <c r="B35" i="5"/>
  <c r="E35" i="5" l="1"/>
  <c r="F35" i="5"/>
  <c r="B36" i="5"/>
  <c r="F36" i="5" l="1"/>
  <c r="E36" i="5"/>
  <c r="B37" i="5"/>
  <c r="B38" i="5" l="1"/>
  <c r="F37" i="5"/>
  <c r="E37" i="5"/>
  <c r="B39" i="5"/>
  <c r="E39" i="5" l="1"/>
  <c r="F39" i="5"/>
  <c r="E38" i="5"/>
  <c r="F38" i="5"/>
  <c r="B40" i="5"/>
  <c r="F40" i="5" l="1"/>
  <c r="E40" i="5"/>
  <c r="B41" i="5"/>
  <c r="F41" i="5" l="1"/>
  <c r="E41" i="5"/>
  <c r="B42" i="5"/>
  <c r="E42" i="5" l="1"/>
  <c r="F42" i="5"/>
  <c r="AG6" i="3" l="1"/>
  <c r="AG13" i="3" s="1"/>
  <c r="AD6" i="3"/>
  <c r="AD13" i="3" s="1"/>
  <c r="AE6" i="3"/>
  <c r="AE13" i="3" s="1"/>
  <c r="AF6" i="3"/>
  <c r="AF13" i="3" s="1"/>
  <c r="AC6" i="3"/>
  <c r="AC13" i="3" s="1"/>
  <c r="E6" i="3"/>
  <c r="E13" i="3" l="1"/>
  <c r="E18" i="3"/>
  <c r="E11" i="3"/>
  <c r="E12" i="3"/>
  <c r="AF20" i="3"/>
  <c r="AF23" i="3"/>
  <c r="AF19" i="3"/>
  <c r="AF22" i="3"/>
  <c r="AF21" i="3"/>
  <c r="AF18" i="3"/>
  <c r="AE18" i="3"/>
  <c r="AE20" i="3"/>
  <c r="AE21" i="3"/>
  <c r="AE19" i="3"/>
  <c r="AE22" i="3"/>
  <c r="AE23" i="3"/>
  <c r="AC19" i="3"/>
  <c r="AC18" i="3"/>
  <c r="AC23" i="3"/>
  <c r="AC22" i="3"/>
  <c r="AC20" i="3"/>
  <c r="AC21" i="3"/>
  <c r="AG23" i="3"/>
  <c r="AG18" i="3"/>
  <c r="AG22" i="3"/>
  <c r="AG19" i="3"/>
  <c r="AG20" i="3"/>
  <c r="AG21" i="3"/>
  <c r="E22" i="3"/>
  <c r="E20" i="3"/>
  <c r="E23" i="3"/>
  <c r="F23" i="3" s="1"/>
  <c r="E21" i="3"/>
  <c r="E19" i="3"/>
  <c r="AD22" i="3"/>
  <c r="AD21" i="3"/>
  <c r="AD18" i="3"/>
  <c r="AD23" i="3"/>
  <c r="AD20" i="3"/>
  <c r="AD19" i="3"/>
  <c r="AE45" i="3"/>
  <c r="AE61" i="3"/>
  <c r="AE62" i="3" s="1"/>
  <c r="AE52" i="3"/>
  <c r="AE24" i="3" s="1"/>
  <c r="AE28" i="3"/>
  <c r="AC24" i="3"/>
  <c r="AC52" i="3"/>
  <c r="AC61" i="3"/>
  <c r="AC62" i="3" s="1"/>
  <c r="AC45" i="3"/>
  <c r="AC28" i="3"/>
  <c r="F6" i="3"/>
  <c r="F13" i="3" s="1"/>
  <c r="E52" i="3"/>
  <c r="E24" i="3" s="1"/>
  <c r="E45" i="3"/>
  <c r="AD24" i="3"/>
  <c r="AD45" i="3"/>
  <c r="AD28" i="3"/>
  <c r="AD61" i="3"/>
  <c r="AD62" i="3" s="1"/>
  <c r="AD52" i="3"/>
  <c r="AF28" i="3"/>
  <c r="AF52" i="3"/>
  <c r="AF24" i="3" s="1"/>
  <c r="AF61" i="3"/>
  <c r="AF62" i="3" s="1"/>
  <c r="AF45" i="3"/>
  <c r="AG61" i="3"/>
  <c r="AG62" i="3" s="1"/>
  <c r="AG45" i="3"/>
  <c r="AG28" i="3"/>
  <c r="AG52" i="3"/>
  <c r="AG24" i="3" s="1"/>
  <c r="F12" i="3" l="1"/>
  <c r="F11" i="3"/>
  <c r="E15" i="3"/>
  <c r="F18" i="3"/>
  <c r="F19" i="3"/>
  <c r="F20" i="3"/>
  <c r="F21" i="3"/>
  <c r="F22" i="3"/>
  <c r="AG53" i="3"/>
  <c r="AG54" i="3" s="1"/>
  <c r="AG65" i="3"/>
  <c r="AG80" i="3"/>
  <c r="AG68" i="3"/>
  <c r="AG67" i="3"/>
  <c r="F24" i="3"/>
  <c r="F52" i="3"/>
  <c r="G23" i="3"/>
  <c r="F45" i="3"/>
  <c r="G6" i="3"/>
  <c r="G13" i="3" s="1"/>
  <c r="AG83" i="3"/>
  <c r="AG84" i="3"/>
  <c r="AD65" i="3"/>
  <c r="AD53" i="3"/>
  <c r="AD54" i="3" s="1"/>
  <c r="AD67" i="3"/>
  <c r="AD68" i="3"/>
  <c r="AD80" i="3"/>
  <c r="E83" i="3"/>
  <c r="E84" i="3"/>
  <c r="AC84" i="3"/>
  <c r="AC83" i="3"/>
  <c r="AF65" i="3"/>
  <c r="AF53" i="3"/>
  <c r="AF54" i="3" s="1"/>
  <c r="AF68" i="3"/>
  <c r="AF67" i="3"/>
  <c r="AF80" i="3"/>
  <c r="AF83" i="3"/>
  <c r="AF84" i="3"/>
  <c r="AD84" i="3"/>
  <c r="AD83" i="3"/>
  <c r="E53" i="3"/>
  <c r="E54" i="3" s="1"/>
  <c r="E67" i="3"/>
  <c r="E80" i="3"/>
  <c r="AC80" i="3"/>
  <c r="AC53" i="3"/>
  <c r="AC54" i="3" s="1"/>
  <c r="AC68" i="3"/>
  <c r="AC67" i="3"/>
  <c r="AC65" i="3"/>
  <c r="AE65" i="3"/>
  <c r="AE80" i="3"/>
  <c r="AE53" i="3"/>
  <c r="AE54" i="3" s="1"/>
  <c r="AE68" i="3"/>
  <c r="AE67" i="3"/>
  <c r="AE84" i="3"/>
  <c r="AE83" i="3"/>
  <c r="G11" i="3" l="1"/>
  <c r="G12" i="3"/>
  <c r="G20" i="3"/>
  <c r="G22" i="3"/>
  <c r="G19" i="3"/>
  <c r="G21" i="3"/>
  <c r="G18" i="3"/>
  <c r="F15" i="3"/>
  <c r="F37" i="3" s="1"/>
  <c r="F32" i="3" s="1"/>
  <c r="AE92" i="3"/>
  <c r="AE97" i="3"/>
  <c r="AE91" i="3"/>
  <c r="AE88" i="3"/>
  <c r="AE69" i="3"/>
  <c r="AE71" i="3" s="1"/>
  <c r="AG91" i="3"/>
  <c r="AG92" i="3"/>
  <c r="AG97" i="3"/>
  <c r="AG88" i="3"/>
  <c r="F80" i="3"/>
  <c r="F53" i="3"/>
  <c r="F54" i="3" s="1"/>
  <c r="F67" i="3"/>
  <c r="AC69" i="3"/>
  <c r="AC71" i="3" s="1"/>
  <c r="AC92" i="3"/>
  <c r="AC88" i="3"/>
  <c r="AC91" i="3"/>
  <c r="AC97" i="3"/>
  <c r="E88" i="3"/>
  <c r="AF91" i="3"/>
  <c r="AF97" i="3"/>
  <c r="AF92" i="3"/>
  <c r="AF88" i="3"/>
  <c r="AF69" i="3"/>
  <c r="AF71" i="3" s="1"/>
  <c r="AD91" i="3"/>
  <c r="AD92" i="3"/>
  <c r="AD88" i="3"/>
  <c r="AD97" i="3"/>
  <c r="AD69" i="3"/>
  <c r="AD71" i="3" s="1"/>
  <c r="G24" i="3"/>
  <c r="G52" i="3"/>
  <c r="H6" i="3"/>
  <c r="G45" i="3"/>
  <c r="E37" i="3"/>
  <c r="E26" i="3"/>
  <c r="AG69" i="3"/>
  <c r="AG71" i="3" s="1"/>
  <c r="F84" i="3"/>
  <c r="F83" i="3"/>
  <c r="F26" i="3"/>
  <c r="H23" i="3" l="1"/>
  <c r="H13" i="3"/>
  <c r="H12" i="3"/>
  <c r="H11" i="3"/>
  <c r="H19" i="3"/>
  <c r="H18" i="3"/>
  <c r="H20" i="3"/>
  <c r="H22" i="3"/>
  <c r="H21" i="3"/>
  <c r="AE93" i="3"/>
  <c r="AG93" i="3"/>
  <c r="G15" i="3"/>
  <c r="G37" i="3" s="1"/>
  <c r="G32" i="3" s="1"/>
  <c r="G80" i="3"/>
  <c r="G53" i="3"/>
  <c r="G54" i="3" s="1"/>
  <c r="G67" i="3"/>
  <c r="F88" i="3"/>
  <c r="E35" i="3"/>
  <c r="H52" i="3"/>
  <c r="H24" i="3" s="1"/>
  <c r="H45" i="3"/>
  <c r="I6" i="3"/>
  <c r="F35" i="3"/>
  <c r="E32" i="3"/>
  <c r="G83" i="3"/>
  <c r="G84" i="3"/>
  <c r="AD93" i="3"/>
  <c r="AF93" i="3"/>
  <c r="AC93" i="3"/>
  <c r="I23" i="3" l="1"/>
  <c r="I13" i="3"/>
  <c r="I12" i="3"/>
  <c r="I11" i="3"/>
  <c r="I20" i="3"/>
  <c r="I18" i="3"/>
  <c r="I21" i="3"/>
  <c r="I19" i="3"/>
  <c r="I22" i="3"/>
  <c r="G26" i="3"/>
  <c r="G35" i="3" s="1"/>
  <c r="I24" i="3"/>
  <c r="I52" i="3"/>
  <c r="I45" i="3"/>
  <c r="J6" i="3"/>
  <c r="H80" i="3"/>
  <c r="H53" i="3"/>
  <c r="H54" i="3" s="1"/>
  <c r="H67" i="3"/>
  <c r="H83" i="3"/>
  <c r="H84" i="3"/>
  <c r="G88" i="3"/>
  <c r="H15" i="3"/>
  <c r="J12" i="3" l="1"/>
  <c r="J23" i="3"/>
  <c r="J13" i="3"/>
  <c r="J11" i="3"/>
  <c r="J22" i="3"/>
  <c r="J20" i="3"/>
  <c r="J21" i="3"/>
  <c r="J18" i="3"/>
  <c r="J19" i="3"/>
  <c r="J24" i="3"/>
  <c r="J52" i="3"/>
  <c r="J45" i="3"/>
  <c r="K6" i="3"/>
  <c r="I80" i="3"/>
  <c r="I53" i="3"/>
  <c r="I54" i="3" s="1"/>
  <c r="I67" i="3"/>
  <c r="H26" i="3"/>
  <c r="H37" i="3"/>
  <c r="H88" i="3"/>
  <c r="I84" i="3"/>
  <c r="I83" i="3"/>
  <c r="I15" i="3"/>
  <c r="K20" i="3" l="1"/>
  <c r="K23" i="3"/>
  <c r="K13" i="3"/>
  <c r="K21" i="3"/>
  <c r="K11" i="3"/>
  <c r="K12" i="3"/>
  <c r="K22" i="3"/>
  <c r="K19" i="3"/>
  <c r="K18" i="3"/>
  <c r="J15" i="3"/>
  <c r="K45" i="3"/>
  <c r="K52" i="3"/>
  <c r="K24" i="3" s="1"/>
  <c r="L6" i="3"/>
  <c r="J83" i="3"/>
  <c r="J84" i="3"/>
  <c r="I88" i="3"/>
  <c r="H32" i="3"/>
  <c r="I26" i="3"/>
  <c r="I37" i="3"/>
  <c r="I32" i="3" s="1"/>
  <c r="H35" i="3"/>
  <c r="J80" i="3"/>
  <c r="J53" i="3"/>
  <c r="J54" i="3" s="1"/>
  <c r="J67" i="3"/>
  <c r="L12" i="3" l="1"/>
  <c r="L22" i="3"/>
  <c r="L23" i="3"/>
  <c r="L13" i="3"/>
  <c r="L20" i="3"/>
  <c r="L11" i="3"/>
  <c r="L18" i="3"/>
  <c r="L21" i="3"/>
  <c r="L19" i="3"/>
  <c r="K53" i="3"/>
  <c r="K54" i="3" s="1"/>
  <c r="K67" i="3"/>
  <c r="K80" i="3"/>
  <c r="K84" i="3"/>
  <c r="K83" i="3"/>
  <c r="J88" i="3"/>
  <c r="I35" i="3"/>
  <c r="J37" i="3"/>
  <c r="J26" i="3"/>
  <c r="L24" i="3"/>
  <c r="L52" i="3"/>
  <c r="M6" i="3"/>
  <c r="L45" i="3"/>
  <c r="K15" i="3"/>
  <c r="M11" i="3" l="1"/>
  <c r="M20" i="3"/>
  <c r="M13" i="3"/>
  <c r="M12" i="3"/>
  <c r="M21" i="3"/>
  <c r="M19" i="3"/>
  <c r="N19" i="3" s="1"/>
  <c r="M23" i="3"/>
  <c r="N23" i="3" s="1"/>
  <c r="M18" i="3"/>
  <c r="M22" i="3"/>
  <c r="L15" i="3"/>
  <c r="L37" i="3" s="1"/>
  <c r="L32" i="3" s="1"/>
  <c r="L53" i="3"/>
  <c r="L54" i="3" s="1"/>
  <c r="L80" i="3"/>
  <c r="L67" i="3"/>
  <c r="J32" i="3"/>
  <c r="M24" i="3"/>
  <c r="M52" i="3"/>
  <c r="M45" i="3"/>
  <c r="N6" i="3"/>
  <c r="L84" i="3"/>
  <c r="L83" i="3"/>
  <c r="K37" i="3"/>
  <c r="K32" i="3" s="1"/>
  <c r="K26" i="3"/>
  <c r="J35" i="3"/>
  <c r="K88" i="3"/>
  <c r="N12" i="3" l="1"/>
  <c r="N11" i="3"/>
  <c r="N20" i="3"/>
  <c r="N13" i="3"/>
  <c r="L26" i="3"/>
  <c r="L35" i="3" s="1"/>
  <c r="N21" i="3"/>
  <c r="N22" i="3"/>
  <c r="N18" i="3"/>
  <c r="K35" i="3"/>
  <c r="M80" i="3"/>
  <c r="M53" i="3"/>
  <c r="M54" i="3" s="1"/>
  <c r="M67" i="3"/>
  <c r="L88" i="3"/>
  <c r="N24" i="3"/>
  <c r="N52" i="3"/>
  <c r="N45" i="3"/>
  <c r="O6" i="3"/>
  <c r="M15" i="3"/>
  <c r="M84" i="3"/>
  <c r="M83" i="3"/>
  <c r="O11" i="3" l="1"/>
  <c r="O21" i="3"/>
  <c r="O20" i="3"/>
  <c r="O13" i="3"/>
  <c r="O12" i="3"/>
  <c r="O19" i="3"/>
  <c r="O18" i="3"/>
  <c r="O23" i="3"/>
  <c r="O22" i="3"/>
  <c r="O45" i="3"/>
  <c r="O52" i="3"/>
  <c r="O24" i="3" s="1"/>
  <c r="P6" i="3"/>
  <c r="M37" i="3"/>
  <c r="M26" i="3"/>
  <c r="N53" i="3"/>
  <c r="N54" i="3" s="1"/>
  <c r="N80" i="3"/>
  <c r="N67" i="3"/>
  <c r="N83" i="3"/>
  <c r="N84" i="3"/>
  <c r="N15" i="3"/>
  <c r="M88" i="3"/>
  <c r="P20" i="3" l="1"/>
  <c r="P13" i="3"/>
  <c r="P23" i="3"/>
  <c r="P12" i="3"/>
  <c r="P11" i="3"/>
  <c r="P19" i="3"/>
  <c r="P18" i="3"/>
  <c r="P22" i="3"/>
  <c r="P21" i="3"/>
  <c r="N88" i="3"/>
  <c r="P52" i="3"/>
  <c r="P24" i="3" s="1"/>
  <c r="Q6" i="3"/>
  <c r="P45" i="3"/>
  <c r="N37" i="3"/>
  <c r="N32" i="3" s="1"/>
  <c r="N26" i="3"/>
  <c r="O15" i="3"/>
  <c r="O83" i="3"/>
  <c r="O84" i="3"/>
  <c r="M32" i="3"/>
  <c r="M35" i="3"/>
  <c r="O80" i="3"/>
  <c r="O67" i="3"/>
  <c r="O53" i="3"/>
  <c r="O54" i="3" s="1"/>
  <c r="Q23" i="3" l="1"/>
  <c r="Q11" i="3"/>
  <c r="Q20" i="3"/>
  <c r="Q13" i="3"/>
  <c r="Q18" i="3"/>
  <c r="Q12" i="3"/>
  <c r="R12" i="3" s="1"/>
  <c r="Q19" i="3"/>
  <c r="R19" i="3" s="1"/>
  <c r="Q21" i="3"/>
  <c r="Q22" i="3"/>
  <c r="O37" i="3"/>
  <c r="O32" i="3" s="1"/>
  <c r="O26" i="3"/>
  <c r="P80" i="3"/>
  <c r="P53" i="3"/>
  <c r="P54" i="3" s="1"/>
  <c r="P67" i="3"/>
  <c r="O88" i="3"/>
  <c r="Q24" i="3"/>
  <c r="Q52" i="3"/>
  <c r="Q45" i="3"/>
  <c r="R6" i="3"/>
  <c r="P15" i="3"/>
  <c r="N35" i="3"/>
  <c r="P84" i="3"/>
  <c r="P83" i="3"/>
  <c r="S6" i="3" l="1"/>
  <c r="S13" i="3" s="1"/>
  <c r="R13" i="3"/>
  <c r="R11" i="3"/>
  <c r="R22" i="3"/>
  <c r="R23" i="3"/>
  <c r="R18" i="3"/>
  <c r="R21" i="3"/>
  <c r="S21" i="3" s="1"/>
  <c r="R20" i="3"/>
  <c r="S20" i="3" s="1"/>
  <c r="T6" i="3"/>
  <c r="S45" i="3"/>
  <c r="S52" i="3"/>
  <c r="S24" i="3" s="1"/>
  <c r="P26" i="3"/>
  <c r="P37" i="3"/>
  <c r="P32" i="3" s="1"/>
  <c r="P88" i="3"/>
  <c r="Q67" i="3"/>
  <c r="Q80" i="3"/>
  <c r="Q53" i="3"/>
  <c r="Q54" i="3" s="1"/>
  <c r="Q84" i="3"/>
  <c r="Q83" i="3"/>
  <c r="O35" i="3"/>
  <c r="R52" i="3"/>
  <c r="R24" i="3" s="1"/>
  <c r="R45" i="3"/>
  <c r="Q15" i="3"/>
  <c r="S18" i="3" l="1"/>
  <c r="S23" i="3"/>
  <c r="S11" i="3"/>
  <c r="S22" i="3"/>
  <c r="T18" i="3"/>
  <c r="S12" i="3"/>
  <c r="T12" i="3" s="1"/>
  <c r="T19" i="3"/>
  <c r="T13" i="3"/>
  <c r="T23" i="3"/>
  <c r="S19" i="3"/>
  <c r="T22" i="3"/>
  <c r="T20" i="3"/>
  <c r="T21" i="3"/>
  <c r="S80" i="3"/>
  <c r="T45" i="3"/>
  <c r="U6" i="3"/>
  <c r="T52" i="3"/>
  <c r="T24" i="3" s="1"/>
  <c r="S84" i="3"/>
  <c r="S83" i="3"/>
  <c r="Q88" i="3"/>
  <c r="R80" i="3"/>
  <c r="R53" i="3"/>
  <c r="R54" i="3" s="1"/>
  <c r="R67" i="3"/>
  <c r="S67" i="3" s="1"/>
  <c r="Q37" i="3"/>
  <c r="Q32" i="3" s="1"/>
  <c r="Q26" i="3"/>
  <c r="R84" i="3"/>
  <c r="R83" i="3"/>
  <c r="R15" i="3"/>
  <c r="P35" i="3"/>
  <c r="S15" i="3" l="1"/>
  <c r="T11" i="3"/>
  <c r="U11" i="3" s="1"/>
  <c r="U19" i="3"/>
  <c r="U13" i="3"/>
  <c r="U21" i="3"/>
  <c r="U23" i="3"/>
  <c r="U18" i="3"/>
  <c r="U12" i="3"/>
  <c r="U22" i="3"/>
  <c r="U20" i="3"/>
  <c r="V6" i="3"/>
  <c r="U52" i="3"/>
  <c r="U24" i="3" s="1"/>
  <c r="U45" i="3"/>
  <c r="T67" i="3"/>
  <c r="T80" i="3"/>
  <c r="S53" i="3"/>
  <c r="S54" i="3" s="1"/>
  <c r="S88" i="3"/>
  <c r="T84" i="3"/>
  <c r="T83" i="3"/>
  <c r="Q35" i="3"/>
  <c r="R88" i="3"/>
  <c r="R37" i="3"/>
  <c r="R32" i="3" s="1"/>
  <c r="R26" i="3"/>
  <c r="V23" i="3" l="1"/>
  <c r="V13" i="3"/>
  <c r="V11" i="3"/>
  <c r="V12" i="3"/>
  <c r="V22" i="3"/>
  <c r="V20" i="3"/>
  <c r="V21" i="3"/>
  <c r="V18" i="3"/>
  <c r="V19" i="3"/>
  <c r="T53" i="3"/>
  <c r="T54" i="3" s="1"/>
  <c r="T88" i="3"/>
  <c r="U80" i="3"/>
  <c r="U67" i="3"/>
  <c r="U53" i="3"/>
  <c r="U54" i="3" s="1"/>
  <c r="U84" i="3"/>
  <c r="U83" i="3"/>
  <c r="W6" i="3"/>
  <c r="V52" i="3"/>
  <c r="V24" i="3" s="1"/>
  <c r="V45" i="3"/>
  <c r="R35" i="3"/>
  <c r="T15" i="3"/>
  <c r="S37" i="3"/>
  <c r="S32" i="3" s="1"/>
  <c r="S26" i="3"/>
  <c r="W11" i="3" l="1"/>
  <c r="W12" i="3"/>
  <c r="X6" i="3"/>
  <c r="X13" i="3" s="1"/>
  <c r="W13" i="3"/>
  <c r="W20" i="3"/>
  <c r="W22" i="3"/>
  <c r="W19" i="3"/>
  <c r="X19" i="3" s="1"/>
  <c r="W18" i="3"/>
  <c r="X18" i="3" s="1"/>
  <c r="W21" i="3"/>
  <c r="X21" i="3" s="1"/>
  <c r="W23" i="3"/>
  <c r="X23" i="3" s="1"/>
  <c r="X45" i="3"/>
  <c r="Y6" i="3"/>
  <c r="Y13" i="3" s="1"/>
  <c r="X52" i="3"/>
  <c r="X24" i="3"/>
  <c r="W52" i="3"/>
  <c r="W24" i="3" s="1"/>
  <c r="W45" i="3"/>
  <c r="V53" i="3"/>
  <c r="V54" i="3" s="1"/>
  <c r="V67" i="3"/>
  <c r="V80" i="3"/>
  <c r="V84" i="3"/>
  <c r="V83" i="3"/>
  <c r="U88" i="3"/>
  <c r="U15" i="3"/>
  <c r="S35" i="3"/>
  <c r="T37" i="3"/>
  <c r="T32" i="3" s="1"/>
  <c r="T26" i="3"/>
  <c r="X22" i="3" l="1"/>
  <c r="X20" i="3"/>
  <c r="Y18" i="3"/>
  <c r="X11" i="3"/>
  <c r="Y11" i="3" s="1"/>
  <c r="X12" i="3"/>
  <c r="Y12" i="3" s="1"/>
  <c r="Y23" i="3"/>
  <c r="Y22" i="3"/>
  <c r="Y19" i="3"/>
  <c r="Y21" i="3"/>
  <c r="Y20" i="3"/>
  <c r="X84" i="3"/>
  <c r="X83" i="3"/>
  <c r="Z6" i="3"/>
  <c r="Y52" i="3"/>
  <c r="Y45" i="3"/>
  <c r="Y24" i="3"/>
  <c r="X80" i="3"/>
  <c r="W83" i="3"/>
  <c r="W84" i="3"/>
  <c r="W67" i="3"/>
  <c r="X67" i="3" s="1"/>
  <c r="W80" i="3"/>
  <c r="W53" i="3"/>
  <c r="W54" i="3" s="1"/>
  <c r="V88" i="3"/>
  <c r="T35" i="3"/>
  <c r="U37" i="3"/>
  <c r="U32" i="3" s="1"/>
  <c r="U26" i="3"/>
  <c r="V15" i="3"/>
  <c r="Z20" i="3" l="1"/>
  <c r="Z18" i="3"/>
  <c r="Z13" i="3"/>
  <c r="Z23" i="3"/>
  <c r="Z12" i="3"/>
  <c r="AA12" i="3" s="1"/>
  <c r="Z19" i="3"/>
  <c r="Z22" i="3"/>
  <c r="Z11" i="3"/>
  <c r="AA11" i="3" s="1"/>
  <c r="AA20" i="3"/>
  <c r="Z21" i="3"/>
  <c r="X88" i="3"/>
  <c r="X53" i="3"/>
  <c r="X54" i="3" s="1"/>
  <c r="Y83" i="3"/>
  <c r="Y84" i="3"/>
  <c r="Y80" i="3"/>
  <c r="Y67" i="3"/>
  <c r="Y53" i="3"/>
  <c r="Y54" i="3" s="1"/>
  <c r="Z45" i="3"/>
  <c r="AA6" i="3"/>
  <c r="AA13" i="3" s="1"/>
  <c r="Z24" i="3"/>
  <c r="Z52" i="3"/>
  <c r="W88" i="3"/>
  <c r="W15" i="3"/>
  <c r="U35" i="3"/>
  <c r="V37" i="3"/>
  <c r="V32" i="3" s="1"/>
  <c r="V26" i="3"/>
  <c r="AA21" i="3" l="1"/>
  <c r="AA19" i="3"/>
  <c r="AA22" i="3"/>
  <c r="AA23" i="3"/>
  <c r="AA18" i="3"/>
  <c r="Z83" i="3"/>
  <c r="Z84" i="3"/>
  <c r="Z53" i="3"/>
  <c r="Z54" i="3" s="1"/>
  <c r="Z67" i="3"/>
  <c r="Z80" i="3"/>
  <c r="AA24" i="3"/>
  <c r="AB6" i="3"/>
  <c r="AA52" i="3"/>
  <c r="AA45" i="3"/>
  <c r="Y88" i="3"/>
  <c r="V35" i="3"/>
  <c r="X15" i="3"/>
  <c r="W37" i="3"/>
  <c r="W32" i="3" s="1"/>
  <c r="W26" i="3"/>
  <c r="AB20" i="3" l="1"/>
  <c r="AB13" i="3"/>
  <c r="AB18" i="3"/>
  <c r="AB12" i="3"/>
  <c r="AC12" i="3" s="1"/>
  <c r="AD12" i="3" s="1"/>
  <c r="AE12" i="3" s="1"/>
  <c r="AF12" i="3" s="1"/>
  <c r="AG12" i="3" s="1"/>
  <c r="AB22" i="3"/>
  <c r="AB19" i="3"/>
  <c r="AB21" i="3"/>
  <c r="AB11" i="3"/>
  <c r="AC11" i="3" s="1"/>
  <c r="AD11" i="3" s="1"/>
  <c r="AE11" i="3" s="1"/>
  <c r="AF11" i="3" s="1"/>
  <c r="AG11" i="3" s="1"/>
  <c r="AB23" i="3"/>
  <c r="AB45" i="3"/>
  <c r="AB52" i="3"/>
  <c r="AB24" i="3" s="1"/>
  <c r="Z88" i="3"/>
  <c r="AA53" i="3"/>
  <c r="AA54" i="3" s="1"/>
  <c r="AA80" i="3"/>
  <c r="AA67" i="3"/>
  <c r="AA83" i="3"/>
  <c r="AA84" i="3"/>
  <c r="W35" i="3"/>
  <c r="Y15" i="3"/>
  <c r="X26" i="3"/>
  <c r="X37" i="3"/>
  <c r="X32" i="3" s="1"/>
  <c r="AA88" i="3" l="1"/>
  <c r="AB83" i="3"/>
  <c r="AB84" i="3"/>
  <c r="AB80" i="3"/>
  <c r="AB53" i="3"/>
  <c r="AB54" i="3" s="1"/>
  <c r="AB67" i="3"/>
  <c r="Y26" i="3"/>
  <c r="Y37" i="3"/>
  <c r="Y32" i="3" s="1"/>
  <c r="Z15" i="3"/>
  <c r="X35" i="3"/>
  <c r="AB88" i="3" l="1"/>
  <c r="AA15" i="3"/>
  <c r="Z26" i="3"/>
  <c r="Z37" i="3"/>
  <c r="Z32" i="3" s="1"/>
  <c r="Y35" i="3"/>
  <c r="Z35" i="3" l="1"/>
  <c r="AB15" i="3"/>
  <c r="AA26" i="3"/>
  <c r="AA37" i="3"/>
  <c r="AA32" i="3" s="1"/>
  <c r="AC15" i="3" l="1"/>
  <c r="AB26" i="3"/>
  <c r="AB37" i="3"/>
  <c r="AB32" i="3" s="1"/>
  <c r="AA35" i="3"/>
  <c r="AB35" i="3" l="1"/>
  <c r="AD15" i="3"/>
  <c r="AC26" i="3"/>
  <c r="AC37" i="3"/>
  <c r="AC32" i="3" s="1"/>
  <c r="AE15" i="3" l="1"/>
  <c r="AD26" i="3"/>
  <c r="AD37" i="3"/>
  <c r="AD32" i="3" s="1"/>
  <c r="AC35" i="3"/>
  <c r="AC30" i="3"/>
  <c r="AC82" i="3" s="1"/>
  <c r="AC85" i="3" s="1"/>
  <c r="AC96" i="3" s="1"/>
  <c r="AC98" i="3" s="1"/>
  <c r="AC48" i="3" s="1"/>
  <c r="AC56" i="3" s="1"/>
  <c r="AC73" i="3" s="1"/>
  <c r="AD30" i="3" l="1"/>
  <c r="AD82" i="3" s="1"/>
  <c r="AD85" i="3" s="1"/>
  <c r="AD96" i="3" s="1"/>
  <c r="AD98" i="3" s="1"/>
  <c r="AD48" i="3" s="1"/>
  <c r="AD56" i="3" s="1"/>
  <c r="AD73" i="3" s="1"/>
  <c r="AD35" i="3"/>
  <c r="AF15" i="3"/>
  <c r="AG15" i="3"/>
  <c r="AE37" i="3"/>
  <c r="AE32" i="3" s="1"/>
  <c r="AE26" i="3"/>
  <c r="AG37" i="3" l="1"/>
  <c r="AG26" i="3"/>
  <c r="AF26" i="3"/>
  <c r="AF37" i="3"/>
  <c r="AF32" i="3" s="1"/>
  <c r="AE35" i="3"/>
  <c r="AE30" i="3"/>
  <c r="AE82" i="3" s="1"/>
  <c r="AE85" i="3" s="1"/>
  <c r="AE96" i="3" s="1"/>
  <c r="AE98" i="3" s="1"/>
  <c r="AE48" i="3" s="1"/>
  <c r="AE56" i="3" s="1"/>
  <c r="AE73" i="3" s="1"/>
  <c r="AG35" i="3" l="1"/>
  <c r="AG30" i="3"/>
  <c r="AG82" i="3" s="1"/>
  <c r="AG85" i="3" s="1"/>
  <c r="AG96" i="3" s="1"/>
  <c r="AG98" i="3" s="1"/>
  <c r="AG48" i="3" s="1"/>
  <c r="AG56" i="3" s="1"/>
  <c r="AG73" i="3" s="1"/>
  <c r="AF30" i="3"/>
  <c r="AF82" i="3" s="1"/>
  <c r="AF85" i="3" s="1"/>
  <c r="AF96" i="3" s="1"/>
  <c r="AF98" i="3" s="1"/>
  <c r="AF48" i="3" s="1"/>
  <c r="AF56" i="3" s="1"/>
  <c r="AF73" i="3" s="1"/>
  <c r="AF35" i="3"/>
  <c r="AG32" i="3"/>
  <c r="D8" i="5" a="1"/>
  <c r="F28" i="5" l="1"/>
  <c r="F29" i="5"/>
  <c r="F30" i="5"/>
  <c r="F31" i="5"/>
  <c r="F32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D8" i="5"/>
  <c r="F8" i="5" s="1"/>
  <c r="C8" i="5" a="1"/>
  <c r="E28" i="5" l="1"/>
  <c r="G28" i="5" s="1"/>
  <c r="E29" i="5"/>
  <c r="G29" i="5" s="1"/>
  <c r="E30" i="5"/>
  <c r="G30" i="5" s="1"/>
  <c r="E31" i="5"/>
  <c r="G31" i="5" s="1"/>
  <c r="E32" i="5"/>
  <c r="G32" i="5" s="1"/>
  <c r="E9" i="5"/>
  <c r="G9" i="5" s="1"/>
  <c r="E10" i="5"/>
  <c r="G10" i="5" s="1"/>
  <c r="E11" i="5"/>
  <c r="G11" i="5" s="1"/>
  <c r="E12" i="5"/>
  <c r="G12" i="5" s="1"/>
  <c r="E13" i="5"/>
  <c r="G13" i="5" s="1"/>
  <c r="E14" i="5"/>
  <c r="G14" i="5" s="1"/>
  <c r="E15" i="5"/>
  <c r="G15" i="5" s="1"/>
  <c r="E16" i="5"/>
  <c r="G16" i="5" s="1"/>
  <c r="E17" i="5"/>
  <c r="G17" i="5" s="1"/>
  <c r="E18" i="5"/>
  <c r="G18" i="5" s="1"/>
  <c r="E19" i="5"/>
  <c r="G19" i="5" s="1"/>
  <c r="E20" i="5"/>
  <c r="G20" i="5" s="1"/>
  <c r="E21" i="5"/>
  <c r="G21" i="5" s="1"/>
  <c r="E22" i="5"/>
  <c r="G22" i="5" s="1"/>
  <c r="E23" i="5"/>
  <c r="G23" i="5" s="1"/>
  <c r="E24" i="5"/>
  <c r="G24" i="5" s="1"/>
  <c r="E25" i="5"/>
  <c r="G25" i="5" s="1"/>
  <c r="E26" i="5"/>
  <c r="G26" i="5" s="1"/>
  <c r="E27" i="5"/>
  <c r="G27" i="5" s="1"/>
  <c r="F45" i="5"/>
  <c r="D45" i="5"/>
  <c r="C8" i="5"/>
  <c r="E8" i="5" s="1"/>
  <c r="G8" i="5" s="1"/>
  <c r="C45" i="5" l="1"/>
  <c r="E45" i="5" l="1"/>
  <c r="C2" i="5" l="1"/>
  <c r="Q42" i="1" s="1"/>
  <c r="H8" i="5" l="1"/>
  <c r="J8" i="5" s="1"/>
  <c r="K8" i="5" s="1"/>
  <c r="D61" i="3" l="1"/>
  <c r="D62" i="3" s="1"/>
  <c r="D28" i="3"/>
  <c r="D30" i="3" s="1"/>
  <c r="I8" i="5"/>
  <c r="C4" i="6" l="1"/>
  <c r="D4" i="6" s="1"/>
  <c r="D91" i="3"/>
  <c r="D82" i="3"/>
  <c r="D85" i="3" s="1"/>
  <c r="D65" i="3"/>
  <c r="H9" i="5"/>
  <c r="J9" i="5" s="1"/>
  <c r="C5" i="6" l="1"/>
  <c r="D5" i="6" s="1"/>
  <c r="E61" i="3"/>
  <c r="D7" i="6" l="1"/>
  <c r="C8" i="6"/>
  <c r="E62" i="3"/>
  <c r="E91" i="3"/>
  <c r="E28" i="3"/>
  <c r="E30" i="3" s="1"/>
  <c r="K9" i="5"/>
  <c r="I9" i="5" s="1"/>
  <c r="D15" i="6" l="1"/>
  <c r="R24" i="1" s="1"/>
  <c r="D16" i="6"/>
  <c r="D32" i="6"/>
  <c r="E32" i="6" s="1"/>
  <c r="D17" i="6"/>
  <c r="D33" i="6"/>
  <c r="E33" i="6" s="1"/>
  <c r="D34" i="6"/>
  <c r="E34" i="6" s="1"/>
  <c r="D18" i="6"/>
  <c r="D19" i="6"/>
  <c r="D23" i="6"/>
  <c r="D30" i="6"/>
  <c r="E30" i="6" s="1"/>
  <c r="D20" i="6"/>
  <c r="D21" i="6"/>
  <c r="D27" i="6"/>
  <c r="E27" i="6" s="1"/>
  <c r="D31" i="6"/>
  <c r="E31" i="6" s="1"/>
  <c r="D22" i="6"/>
  <c r="D24" i="6"/>
  <c r="D25" i="6"/>
  <c r="D26" i="6"/>
  <c r="D28" i="6"/>
  <c r="E28" i="6" s="1"/>
  <c r="D29" i="6"/>
  <c r="E29" i="6" s="1"/>
  <c r="D68" i="3"/>
  <c r="D8" i="6"/>
  <c r="H10" i="5"/>
  <c r="J10" i="5" s="1"/>
  <c r="E82" i="3"/>
  <c r="E85" i="3" s="1"/>
  <c r="E65" i="3"/>
  <c r="E26" i="6" l="1"/>
  <c r="E25" i="6"/>
  <c r="S34" i="1" s="1"/>
  <c r="R34" i="1"/>
  <c r="E24" i="6"/>
  <c r="S33" i="1" s="1"/>
  <c r="R33" i="1"/>
  <c r="E22" i="6"/>
  <c r="S31" i="1" s="1"/>
  <c r="R31" i="1"/>
  <c r="E21" i="6"/>
  <c r="S30" i="1" s="1"/>
  <c r="R30" i="1"/>
  <c r="E20" i="6"/>
  <c r="S29" i="1" s="1"/>
  <c r="R29" i="1"/>
  <c r="E23" i="6"/>
  <c r="S32" i="1" s="1"/>
  <c r="R32" i="1"/>
  <c r="E19" i="6"/>
  <c r="S28" i="1" s="1"/>
  <c r="R28" i="1"/>
  <c r="E18" i="6"/>
  <c r="S27" i="1" s="1"/>
  <c r="R27" i="1"/>
  <c r="E17" i="6"/>
  <c r="S26" i="1" s="1"/>
  <c r="R26" i="1"/>
  <c r="E16" i="6"/>
  <c r="S25" i="1" s="1"/>
  <c r="R25" i="1"/>
  <c r="E15" i="6"/>
  <c r="S24" i="1" s="1"/>
  <c r="D36" i="6"/>
  <c r="D92" i="3"/>
  <c r="D93" i="3" s="1"/>
  <c r="D96" i="3" s="1"/>
  <c r="D98" i="3" s="1"/>
  <c r="D69" i="3"/>
  <c r="D71" i="3" s="1"/>
  <c r="E68" i="3"/>
  <c r="F61" i="3"/>
  <c r="E92" i="3" l="1"/>
  <c r="E93" i="3" s="1"/>
  <c r="E96" i="3" s="1"/>
  <c r="F68" i="3"/>
  <c r="F28" i="3"/>
  <c r="F30" i="3" s="1"/>
  <c r="K10" i="5"/>
  <c r="I10" i="5" s="1"/>
  <c r="E69" i="3"/>
  <c r="E71" i="3" s="1"/>
  <c r="F62" i="3"/>
  <c r="F91" i="3"/>
  <c r="D48" i="3"/>
  <c r="D56" i="3" s="1"/>
  <c r="D73" i="3" s="1"/>
  <c r="E97" i="3"/>
  <c r="H11" i="5" l="1"/>
  <c r="J11" i="5" s="1"/>
  <c r="F82" i="3"/>
  <c r="F85" i="3" s="1"/>
  <c r="F65" i="3"/>
  <c r="F69" i="3" s="1"/>
  <c r="F71" i="3" s="1"/>
  <c r="F92" i="3"/>
  <c r="F93" i="3" s="1"/>
  <c r="G68" i="3"/>
  <c r="E98" i="3"/>
  <c r="F96" i="3" l="1"/>
  <c r="G92" i="3"/>
  <c r="H68" i="3"/>
  <c r="E48" i="3"/>
  <c r="E56" i="3" s="1"/>
  <c r="E73" i="3" s="1"/>
  <c r="F97" i="3"/>
  <c r="G61" i="3"/>
  <c r="F98" i="3" l="1"/>
  <c r="G97" i="3" s="1"/>
  <c r="G28" i="3"/>
  <c r="G30" i="3" s="1"/>
  <c r="K11" i="5"/>
  <c r="I11" i="5" s="1"/>
  <c r="H92" i="3"/>
  <c r="I68" i="3"/>
  <c r="G62" i="3"/>
  <c r="G91" i="3"/>
  <c r="G93" i="3" s="1"/>
  <c r="F48" i="3" l="1"/>
  <c r="F56" i="3" s="1"/>
  <c r="F73" i="3" s="1"/>
  <c r="H12" i="5"/>
  <c r="J12" i="5" s="1"/>
  <c r="G82" i="3"/>
  <c r="G85" i="3" s="1"/>
  <c r="G96" i="3" s="1"/>
  <c r="G98" i="3" s="1"/>
  <c r="G65" i="3"/>
  <c r="G69" i="3" s="1"/>
  <c r="G71" i="3" s="1"/>
  <c r="I92" i="3"/>
  <c r="J68" i="3"/>
  <c r="G48" i="3" l="1"/>
  <c r="G56" i="3" s="1"/>
  <c r="G73" i="3" s="1"/>
  <c r="H97" i="3"/>
  <c r="H61" i="3"/>
  <c r="J92" i="3"/>
  <c r="K68" i="3"/>
  <c r="H62" i="3" l="1"/>
  <c r="H91" i="3"/>
  <c r="H93" i="3" s="1"/>
  <c r="L68" i="3"/>
  <c r="K92" i="3"/>
  <c r="H28" i="3"/>
  <c r="H30" i="3" s="1"/>
  <c r="K12" i="5"/>
  <c r="I12" i="5" s="1"/>
  <c r="H13" i="5" l="1"/>
  <c r="J13" i="5" s="1"/>
  <c r="H82" i="3"/>
  <c r="H85" i="3" s="1"/>
  <c r="H96" i="3" s="1"/>
  <c r="H98" i="3" s="1"/>
  <c r="H65" i="3"/>
  <c r="H69" i="3" s="1"/>
  <c r="H71" i="3" s="1"/>
  <c r="M68" i="3"/>
  <c r="L92" i="3"/>
  <c r="H48" i="3" l="1"/>
  <c r="H56" i="3" s="1"/>
  <c r="H73" i="3" s="1"/>
  <c r="I97" i="3"/>
  <c r="N68" i="3"/>
  <c r="M92" i="3"/>
  <c r="I61" i="3"/>
  <c r="N92" i="3" l="1"/>
  <c r="O68" i="3"/>
  <c r="I28" i="3"/>
  <c r="I30" i="3" s="1"/>
  <c r="K13" i="5"/>
  <c r="I13" i="5" s="1"/>
  <c r="H14" i="5" s="1"/>
  <c r="J14" i="5" s="1"/>
  <c r="I62" i="3"/>
  <c r="I91" i="3"/>
  <c r="I93" i="3" s="1"/>
  <c r="J61" i="3" l="1"/>
  <c r="I82" i="3"/>
  <c r="I85" i="3" s="1"/>
  <c r="I96" i="3" s="1"/>
  <c r="I98" i="3" s="1"/>
  <c r="I65" i="3"/>
  <c r="I69" i="3" s="1"/>
  <c r="I71" i="3" s="1"/>
  <c r="P68" i="3"/>
  <c r="O92" i="3"/>
  <c r="I48" i="3" l="1"/>
  <c r="I56" i="3" s="1"/>
  <c r="I73" i="3" s="1"/>
  <c r="J97" i="3"/>
  <c r="J62" i="3"/>
  <c r="J91" i="3"/>
  <c r="J93" i="3" s="1"/>
  <c r="Q68" i="3"/>
  <c r="P92" i="3"/>
  <c r="J28" i="3"/>
  <c r="J30" i="3" s="1"/>
  <c r="K14" i="5"/>
  <c r="I14" i="5" s="1"/>
  <c r="H15" i="5" s="1"/>
  <c r="J15" i="5" s="1"/>
  <c r="Q92" i="3" l="1"/>
  <c r="R68" i="3"/>
  <c r="K61" i="3"/>
  <c r="J82" i="3"/>
  <c r="J85" i="3" s="1"/>
  <c r="J96" i="3" s="1"/>
  <c r="J98" i="3" s="1"/>
  <c r="J65" i="3"/>
  <c r="J69" i="3" s="1"/>
  <c r="J71" i="3" s="1"/>
  <c r="R92" i="3" l="1"/>
  <c r="S68" i="3"/>
  <c r="J48" i="3"/>
  <c r="J56" i="3" s="1"/>
  <c r="J73" i="3" s="1"/>
  <c r="K97" i="3"/>
  <c r="K28" i="3"/>
  <c r="K30" i="3" s="1"/>
  <c r="K15" i="5"/>
  <c r="I15" i="5" s="1"/>
  <c r="H16" i="5" s="1"/>
  <c r="J16" i="5" s="1"/>
  <c r="K62" i="3"/>
  <c r="K91" i="3"/>
  <c r="K93" i="3" s="1"/>
  <c r="T68" i="3" l="1"/>
  <c r="S92" i="3"/>
  <c r="K82" i="3"/>
  <c r="K85" i="3" s="1"/>
  <c r="K96" i="3" s="1"/>
  <c r="K98" i="3" s="1"/>
  <c r="K65" i="3"/>
  <c r="K69" i="3" s="1"/>
  <c r="K71" i="3" s="1"/>
  <c r="L61" i="3"/>
  <c r="U68" i="3" l="1"/>
  <c r="T92" i="3"/>
  <c r="L28" i="3"/>
  <c r="L30" i="3" s="1"/>
  <c r="K16" i="5"/>
  <c r="I16" i="5" s="1"/>
  <c r="H17" i="5" s="1"/>
  <c r="J17" i="5" s="1"/>
  <c r="K48" i="3"/>
  <c r="K56" i="3" s="1"/>
  <c r="K73" i="3" s="1"/>
  <c r="L97" i="3"/>
  <c r="L62" i="3"/>
  <c r="L91" i="3"/>
  <c r="L93" i="3" s="1"/>
  <c r="V68" i="3" l="1"/>
  <c r="U92" i="3"/>
  <c r="M61" i="3"/>
  <c r="L82" i="3"/>
  <c r="L85" i="3" s="1"/>
  <c r="L96" i="3" s="1"/>
  <c r="L98" i="3" s="1"/>
  <c r="L65" i="3"/>
  <c r="L69" i="3" s="1"/>
  <c r="L71" i="3" s="1"/>
  <c r="V92" i="3" l="1"/>
  <c r="W68" i="3"/>
  <c r="L48" i="3"/>
  <c r="L56" i="3" s="1"/>
  <c r="L73" i="3" s="1"/>
  <c r="M97" i="3"/>
  <c r="M62" i="3"/>
  <c r="M91" i="3"/>
  <c r="M93" i="3" s="1"/>
  <c r="M28" i="3"/>
  <c r="M30" i="3" s="1"/>
  <c r="K17" i="5"/>
  <c r="I17" i="5" s="1"/>
  <c r="H18" i="5" s="1"/>
  <c r="J18" i="5" s="1"/>
  <c r="W92" i="3" l="1"/>
  <c r="X68" i="3"/>
  <c r="N61" i="3"/>
  <c r="M82" i="3"/>
  <c r="M85" i="3" s="1"/>
  <c r="M96" i="3" s="1"/>
  <c r="M98" i="3" s="1"/>
  <c r="M65" i="3"/>
  <c r="M69" i="3" s="1"/>
  <c r="M71" i="3" s="1"/>
  <c r="X92" i="3" l="1"/>
  <c r="Y68" i="3"/>
  <c r="M48" i="3"/>
  <c r="M56" i="3" s="1"/>
  <c r="M73" i="3" s="1"/>
  <c r="N97" i="3"/>
  <c r="N62" i="3"/>
  <c r="N91" i="3"/>
  <c r="N93" i="3" s="1"/>
  <c r="N28" i="3"/>
  <c r="N30" i="3" s="1"/>
  <c r="K18" i="5"/>
  <c r="I18" i="5" s="1"/>
  <c r="H19" i="5" s="1"/>
  <c r="J19" i="5" s="1"/>
  <c r="Z68" i="3" l="1"/>
  <c r="Y92" i="3"/>
  <c r="O61" i="3"/>
  <c r="N82" i="3"/>
  <c r="N85" i="3" s="1"/>
  <c r="N96" i="3" s="1"/>
  <c r="N98" i="3" s="1"/>
  <c r="N65" i="3"/>
  <c r="N69" i="3" s="1"/>
  <c r="N71" i="3" s="1"/>
  <c r="AA68" i="3" l="1"/>
  <c r="Z92" i="3"/>
  <c r="N48" i="3"/>
  <c r="N56" i="3" s="1"/>
  <c r="N73" i="3" s="1"/>
  <c r="O97" i="3"/>
  <c r="O62" i="3"/>
  <c r="O91" i="3"/>
  <c r="O93" i="3" s="1"/>
  <c r="O28" i="3"/>
  <c r="O30" i="3" s="1"/>
  <c r="K19" i="5"/>
  <c r="I19" i="5" s="1"/>
  <c r="H20" i="5" s="1"/>
  <c r="J20" i="5" s="1"/>
  <c r="AA92" i="3" l="1"/>
  <c r="AB68" i="3"/>
  <c r="AB92" i="3" s="1"/>
  <c r="P61" i="3"/>
  <c r="O82" i="3"/>
  <c r="O85" i="3" s="1"/>
  <c r="O96" i="3" s="1"/>
  <c r="O98" i="3" s="1"/>
  <c r="O65" i="3"/>
  <c r="O69" i="3" s="1"/>
  <c r="O71" i="3" s="1"/>
  <c r="O48" i="3" l="1"/>
  <c r="O56" i="3" s="1"/>
  <c r="O73" i="3" s="1"/>
  <c r="P97" i="3"/>
  <c r="P62" i="3"/>
  <c r="P91" i="3"/>
  <c r="P93" i="3" s="1"/>
  <c r="P28" i="3"/>
  <c r="P30" i="3" s="1"/>
  <c r="K20" i="5"/>
  <c r="I20" i="5" s="1"/>
  <c r="H21" i="5" s="1"/>
  <c r="J21" i="5" s="1"/>
  <c r="Q61" i="3" l="1"/>
  <c r="P82" i="3"/>
  <c r="P85" i="3" s="1"/>
  <c r="P96" i="3" s="1"/>
  <c r="P98" i="3" s="1"/>
  <c r="P65" i="3"/>
  <c r="P69" i="3" s="1"/>
  <c r="P71" i="3" s="1"/>
  <c r="P48" i="3" l="1"/>
  <c r="P56" i="3" s="1"/>
  <c r="P73" i="3" s="1"/>
  <c r="Q97" i="3"/>
  <c r="Q62" i="3"/>
  <c r="Q91" i="3"/>
  <c r="Q93" i="3" s="1"/>
  <c r="Q28" i="3"/>
  <c r="Q30" i="3" s="1"/>
  <c r="K21" i="5"/>
  <c r="I21" i="5" s="1"/>
  <c r="H22" i="5" s="1"/>
  <c r="J22" i="5" s="1"/>
  <c r="R61" i="3" l="1"/>
  <c r="Q82" i="3"/>
  <c r="Q85" i="3" s="1"/>
  <c r="Q96" i="3" s="1"/>
  <c r="Q98" i="3" s="1"/>
  <c r="Q65" i="3"/>
  <c r="Q69" i="3" s="1"/>
  <c r="Q71" i="3" s="1"/>
  <c r="Q48" i="3" l="1"/>
  <c r="Q56" i="3" s="1"/>
  <c r="Q73" i="3" s="1"/>
  <c r="R97" i="3"/>
  <c r="R62" i="3"/>
  <c r="R91" i="3"/>
  <c r="R93" i="3" s="1"/>
  <c r="R28" i="3"/>
  <c r="R30" i="3" s="1"/>
  <c r="K22" i="5"/>
  <c r="I22" i="5" s="1"/>
  <c r="H23" i="5" s="1"/>
  <c r="S61" i="3" l="1"/>
  <c r="S62" i="3" s="1"/>
  <c r="J23" i="5"/>
  <c r="R82" i="3"/>
  <c r="R85" i="3" s="1"/>
  <c r="R96" i="3" s="1"/>
  <c r="R98" i="3" s="1"/>
  <c r="R65" i="3"/>
  <c r="R69" i="3" s="1"/>
  <c r="R71" i="3" s="1"/>
  <c r="S91" i="3" l="1"/>
  <c r="S93" i="3" s="1"/>
  <c r="R48" i="3"/>
  <c r="R56" i="3" s="1"/>
  <c r="R73" i="3" s="1"/>
  <c r="S97" i="3"/>
  <c r="K23" i="5"/>
  <c r="I23" i="5" s="1"/>
  <c r="H24" i="5" s="1"/>
  <c r="S28" i="3"/>
  <c r="S30" i="3" s="1"/>
  <c r="T61" i="3" l="1"/>
  <c r="T91" i="3" s="1"/>
  <c r="T93" i="3" s="1"/>
  <c r="J24" i="5"/>
  <c r="S82" i="3"/>
  <c r="S85" i="3" s="1"/>
  <c r="S96" i="3" s="1"/>
  <c r="S98" i="3" s="1"/>
  <c r="S65" i="3"/>
  <c r="S69" i="3" s="1"/>
  <c r="S71" i="3" s="1"/>
  <c r="T62" i="3" l="1"/>
  <c r="K24" i="5"/>
  <c r="I24" i="5" s="1"/>
  <c r="H25" i="5" s="1"/>
  <c r="J25" i="5" s="1"/>
  <c r="T28" i="3"/>
  <c r="T30" i="3" s="1"/>
  <c r="S48" i="3"/>
  <c r="S56" i="3" s="1"/>
  <c r="S73" i="3" s="1"/>
  <c r="T97" i="3"/>
  <c r="T82" i="3" l="1"/>
  <c r="T85" i="3" s="1"/>
  <c r="T96" i="3" s="1"/>
  <c r="T98" i="3" s="1"/>
  <c r="T65" i="3"/>
  <c r="T69" i="3" s="1"/>
  <c r="T71" i="3" s="1"/>
  <c r="U61" i="3"/>
  <c r="U62" i="3" l="1"/>
  <c r="U91" i="3"/>
  <c r="U93" i="3" s="1"/>
  <c r="K25" i="5"/>
  <c r="I25" i="5" s="1"/>
  <c r="H26" i="5" s="1"/>
  <c r="J26" i="5" s="1"/>
  <c r="U28" i="3"/>
  <c r="U30" i="3" s="1"/>
  <c r="T48" i="3"/>
  <c r="T56" i="3" s="1"/>
  <c r="T73" i="3" s="1"/>
  <c r="U97" i="3"/>
  <c r="U82" i="3" l="1"/>
  <c r="U85" i="3" s="1"/>
  <c r="U96" i="3" s="1"/>
  <c r="U98" i="3" s="1"/>
  <c r="U65" i="3"/>
  <c r="U69" i="3" s="1"/>
  <c r="U71" i="3" s="1"/>
  <c r="V61" i="3"/>
  <c r="V62" i="3" l="1"/>
  <c r="V91" i="3"/>
  <c r="V93" i="3" s="1"/>
  <c r="K26" i="5"/>
  <c r="I26" i="5" s="1"/>
  <c r="V28" i="3"/>
  <c r="V30" i="3" s="1"/>
  <c r="U48" i="3"/>
  <c r="U56" i="3" s="1"/>
  <c r="U73" i="3" s="1"/>
  <c r="V97" i="3"/>
  <c r="V82" i="3" l="1"/>
  <c r="V85" i="3" s="1"/>
  <c r="V96" i="3" s="1"/>
  <c r="V98" i="3" s="1"/>
  <c r="V65" i="3"/>
  <c r="V69" i="3" s="1"/>
  <c r="V71" i="3" s="1"/>
  <c r="H27" i="5"/>
  <c r="J27" i="5" s="1"/>
  <c r="W61" i="3" l="1"/>
  <c r="V48" i="3"/>
  <c r="V56" i="3" s="1"/>
  <c r="V73" i="3" s="1"/>
  <c r="W97" i="3"/>
  <c r="K27" i="5" l="1"/>
  <c r="I27" i="5" s="1"/>
  <c r="W28" i="3"/>
  <c r="W30" i="3" s="1"/>
  <c r="W62" i="3"/>
  <c r="W91" i="3"/>
  <c r="W93" i="3" s="1"/>
  <c r="W82" i="3" l="1"/>
  <c r="W85" i="3" s="1"/>
  <c r="W96" i="3" s="1"/>
  <c r="W98" i="3" s="1"/>
  <c r="W65" i="3"/>
  <c r="W69" i="3" s="1"/>
  <c r="W71" i="3" s="1"/>
  <c r="H28" i="5"/>
  <c r="J28" i="5" l="1"/>
  <c r="X28" i="3" s="1"/>
  <c r="X30" i="3" s="1"/>
  <c r="X61" i="3"/>
  <c r="W48" i="3"/>
  <c r="W56" i="3" s="1"/>
  <c r="W73" i="3" s="1"/>
  <c r="X97" i="3"/>
  <c r="H45" i="5"/>
  <c r="K28" i="5" l="1"/>
  <c r="I28" i="5" s="1"/>
  <c r="H29" i="5" s="1"/>
  <c r="X62" i="3"/>
  <c r="X91" i="3"/>
  <c r="X93" i="3" s="1"/>
  <c r="X82" i="3"/>
  <c r="X85" i="3" s="1"/>
  <c r="X65" i="3"/>
  <c r="X69" i="3" s="1"/>
  <c r="I45" i="5" l="1"/>
  <c r="X71" i="3"/>
  <c r="X96" i="3"/>
  <c r="X98" i="3" s="1"/>
  <c r="X48" i="3" s="1"/>
  <c r="X56" i="3" s="1"/>
  <c r="J29" i="5"/>
  <c r="Y28" i="3" s="1"/>
  <c r="Y30" i="3" s="1"/>
  <c r="Y61" i="3"/>
  <c r="X73" i="3" l="1"/>
  <c r="Y97" i="3"/>
  <c r="Y62" i="3"/>
  <c r="Y91" i="3"/>
  <c r="Y93" i="3" s="1"/>
  <c r="Y82" i="3"/>
  <c r="Y85" i="3" s="1"/>
  <c r="Y65" i="3"/>
  <c r="Y69" i="3" s="1"/>
  <c r="K29" i="5"/>
  <c r="I29" i="5" s="1"/>
  <c r="H30" i="5" s="1"/>
  <c r="Y71" i="3" l="1"/>
  <c r="Y96" i="3"/>
  <c r="Y98" i="3" s="1"/>
  <c r="Y48" i="3" s="1"/>
  <c r="Y56" i="3" s="1"/>
  <c r="J30" i="5"/>
  <c r="Z61" i="3"/>
  <c r="Y73" i="3" l="1"/>
  <c r="Z97" i="3"/>
  <c r="Z28" i="3"/>
  <c r="Z30" i="3" s="1"/>
  <c r="K30" i="5"/>
  <c r="I30" i="5" s="1"/>
  <c r="H31" i="5" s="1"/>
  <c r="Z62" i="3"/>
  <c r="Z91" i="3"/>
  <c r="Z93" i="3" s="1"/>
  <c r="J31" i="5" l="1"/>
  <c r="AA61" i="3"/>
  <c r="Z82" i="3"/>
  <c r="Z85" i="3" s="1"/>
  <c r="Z96" i="3" s="1"/>
  <c r="Z98" i="3" s="1"/>
  <c r="Z65" i="3"/>
  <c r="Z69" i="3" s="1"/>
  <c r="Z71" i="3" s="1"/>
  <c r="Z48" i="3" l="1"/>
  <c r="Z56" i="3" s="1"/>
  <c r="Z73" i="3" s="1"/>
  <c r="AA97" i="3"/>
  <c r="AA62" i="3"/>
  <c r="AA91" i="3"/>
  <c r="AA93" i="3" s="1"/>
  <c r="AA28" i="3"/>
  <c r="AA30" i="3" s="1"/>
  <c r="K31" i="5"/>
  <c r="I31" i="5" s="1"/>
  <c r="H32" i="5" s="1"/>
  <c r="AB61" i="3" l="1"/>
  <c r="J32" i="5"/>
  <c r="AA82" i="3"/>
  <c r="AA85" i="3" s="1"/>
  <c r="AA96" i="3" s="1"/>
  <c r="AA98" i="3" s="1"/>
  <c r="AA65" i="3"/>
  <c r="AA69" i="3" s="1"/>
  <c r="AA71" i="3" s="1"/>
  <c r="AA48" i="3" l="1"/>
  <c r="AA56" i="3" s="1"/>
  <c r="AA73" i="3" s="1"/>
  <c r="AB97" i="3"/>
  <c r="K32" i="5"/>
  <c r="I32" i="5" s="1"/>
  <c r="H33" i="5" s="1"/>
  <c r="J33" i="5" s="1"/>
  <c r="K33" i="5" s="1"/>
  <c r="I33" i="5" s="1"/>
  <c r="H34" i="5" s="1"/>
  <c r="J34" i="5" s="1"/>
  <c r="K34" i="5" s="1"/>
  <c r="I34" i="5" s="1"/>
  <c r="H35" i="5" s="1"/>
  <c r="J35" i="5" s="1"/>
  <c r="K35" i="5" s="1"/>
  <c r="I35" i="5" s="1"/>
  <c r="H36" i="5" s="1"/>
  <c r="J36" i="5" s="1"/>
  <c r="K36" i="5" s="1"/>
  <c r="I36" i="5" s="1"/>
  <c r="H37" i="5" s="1"/>
  <c r="J37" i="5" s="1"/>
  <c r="K37" i="5" s="1"/>
  <c r="I37" i="5" s="1"/>
  <c r="H38" i="5" s="1"/>
  <c r="J38" i="5" s="1"/>
  <c r="K38" i="5" s="1"/>
  <c r="I38" i="5" s="1"/>
  <c r="H39" i="5" s="1"/>
  <c r="J39" i="5" s="1"/>
  <c r="K39" i="5" s="1"/>
  <c r="I39" i="5" s="1"/>
  <c r="H40" i="5" s="1"/>
  <c r="J40" i="5" s="1"/>
  <c r="K40" i="5" s="1"/>
  <c r="I40" i="5" s="1"/>
  <c r="H41" i="5" s="1"/>
  <c r="J41" i="5" s="1"/>
  <c r="AB28" i="3"/>
  <c r="AB30" i="3" s="1"/>
  <c r="AB62" i="3"/>
  <c r="AB91" i="3"/>
  <c r="AB93" i="3" s="1"/>
  <c r="AB82" i="3" l="1"/>
  <c r="AB85" i="3" s="1"/>
  <c r="AB96" i="3" s="1"/>
  <c r="AB98" i="3" s="1"/>
  <c r="AB48" i="3" s="1"/>
  <c r="AB56" i="3" s="1"/>
  <c r="AB65" i="3"/>
  <c r="AB69" i="3" s="1"/>
  <c r="AB71" i="3" s="1"/>
  <c r="K41" i="5"/>
  <c r="I41" i="5" s="1"/>
  <c r="H42" i="5" s="1"/>
  <c r="AB73" i="3" l="1"/>
  <c r="J42" i="5"/>
  <c r="K42" i="5" s="1"/>
  <c r="I4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Rabiu Ahmad Rabiu</author>
  </authors>
  <commentList>
    <comment ref="I9" authorId="0" shapeId="0" xr:uid="{E10AEA03-DDA8-4FF8-BD5C-B5F01531CDDA}">
      <text>
        <r>
          <rPr>
            <b/>
            <sz val="9"/>
            <color indexed="81"/>
            <rFont val="Tahoma"/>
            <family val="2"/>
          </rPr>
          <t>Rabiu Ahmad Rabiu:</t>
        </r>
        <r>
          <rPr>
            <sz val="9"/>
            <color indexed="81"/>
            <rFont val="Tahoma"/>
            <family val="2"/>
          </rPr>
          <t xml:space="preserve">
(You may repeat inputs listed in the input list 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<sst xmlns="http://schemas.openxmlformats.org/spreadsheetml/2006/main" count="378" uniqueCount="247">
  <si>
    <t>Inputs</t>
  </si>
  <si>
    <t>All-in Development Cost</t>
  </si>
  <si>
    <t>ITC %</t>
  </si>
  <si>
    <t>Yield (kWh/kWdc)</t>
  </si>
  <si>
    <t>PPA Price</t>
  </si>
  <si>
    <t>PPA Escalator</t>
  </si>
  <si>
    <t>PPA Term</t>
  </si>
  <si>
    <t xml:space="preserve">Site Lease </t>
  </si>
  <si>
    <t>O&amp;M</t>
  </si>
  <si>
    <t>Property Tax</t>
  </si>
  <si>
    <t>Size (DC)</t>
  </si>
  <si>
    <t>Size (AC)</t>
  </si>
  <si>
    <t>MWdc</t>
  </si>
  <si>
    <t>MWac</t>
  </si>
  <si>
    <t>$ in actual</t>
  </si>
  <si>
    <t>kWh</t>
  </si>
  <si>
    <t>Cents / kWh</t>
  </si>
  <si>
    <t>years</t>
  </si>
  <si>
    <t>P50 DSCR</t>
  </si>
  <si>
    <t>P99 DSCR</t>
  </si>
  <si>
    <t>P99 as % of P50</t>
  </si>
  <si>
    <t>Amortization period</t>
  </si>
  <si>
    <t>Swapped Interest Rate</t>
  </si>
  <si>
    <t>Annual Degradation</t>
  </si>
  <si>
    <t>Asset Management</t>
  </si>
  <si>
    <t>Other</t>
  </si>
  <si>
    <t>Insurance</t>
  </si>
  <si>
    <t xml:space="preserve">escalates </t>
  </si>
  <si>
    <t>flat</t>
  </si>
  <si>
    <t>Escalation</t>
  </si>
  <si>
    <t>% / yr</t>
  </si>
  <si>
    <t>Operating Expenses</t>
  </si>
  <si>
    <t>Cost Basis</t>
  </si>
  <si>
    <t>all-in fixed for 15 years (includes loan margin)</t>
  </si>
  <si>
    <t>% of cost basis that is eligible for ITC</t>
  </si>
  <si>
    <t>$/MWdc/yr.</t>
  </si>
  <si>
    <t>Start Date</t>
  </si>
  <si>
    <t>Mechanical Completion Date</t>
  </si>
  <si>
    <t>Substantial Completion Date</t>
  </si>
  <si>
    <t>Final Completion Date</t>
  </si>
  <si>
    <t>Year</t>
  </si>
  <si>
    <t>Power Purchase Agreement Revenues</t>
  </si>
  <si>
    <t>PPA Scenerio</t>
  </si>
  <si>
    <t>P50</t>
  </si>
  <si>
    <t>Percentage of production in Year 1</t>
  </si>
  <si>
    <t>P50 Revenue</t>
  </si>
  <si>
    <t>%</t>
  </si>
  <si>
    <t>MACRS</t>
  </si>
  <si>
    <t>Depreciation Expense</t>
  </si>
  <si>
    <t>Accumulated Depreciation</t>
  </si>
  <si>
    <t>Depreciable Basis</t>
  </si>
  <si>
    <t>Net Fixed Assets</t>
  </si>
  <si>
    <t>EBITDA P50</t>
  </si>
  <si>
    <t>EBITDA P99</t>
  </si>
  <si>
    <t>Tax Rate</t>
  </si>
  <si>
    <t>Debt Service</t>
  </si>
  <si>
    <t>P99</t>
  </si>
  <si>
    <t>Total Debt</t>
  </si>
  <si>
    <t>Principal Payment</t>
  </si>
  <si>
    <t xml:space="preserve">Principal </t>
  </si>
  <si>
    <t>Debt</t>
  </si>
  <si>
    <t>Yes</t>
  </si>
  <si>
    <t>Total Interest Expense</t>
  </si>
  <si>
    <t>Total</t>
  </si>
  <si>
    <t>Taxable Income / (Loss)</t>
  </si>
  <si>
    <t>NOI</t>
  </si>
  <si>
    <t>Depreciate 100% in PIS Year (Bonus Dep)</t>
  </si>
  <si>
    <t>Income Statement</t>
  </si>
  <si>
    <t>Cash</t>
  </si>
  <si>
    <t>Fixed Assets</t>
  </si>
  <si>
    <t>Current Assets</t>
  </si>
  <si>
    <t>Total Assets</t>
  </si>
  <si>
    <t>Receivables</t>
  </si>
  <si>
    <t>Retained Earnings</t>
  </si>
  <si>
    <t>Cash Distributions</t>
  </si>
  <si>
    <t>Liability</t>
  </si>
  <si>
    <t>Total Liabilitues</t>
  </si>
  <si>
    <t>Owners Equity</t>
  </si>
  <si>
    <t>Total Capital Required</t>
  </si>
  <si>
    <t>Total Equity</t>
  </si>
  <si>
    <t>Contribution Schedule</t>
  </si>
  <si>
    <t>PPC</t>
  </si>
  <si>
    <t>Total Tax Equity</t>
  </si>
  <si>
    <t>GP Equity</t>
  </si>
  <si>
    <t>Paid In Capital (Tax Equity)</t>
  </si>
  <si>
    <t>Paid in Capital GP</t>
  </si>
  <si>
    <t>% of TC capital funded</t>
  </si>
  <si>
    <t>Investment Term years</t>
  </si>
  <si>
    <t>Exit Date</t>
  </si>
  <si>
    <t>Call % of ITC Equity</t>
  </si>
  <si>
    <t>Total Owners Equity</t>
  </si>
  <si>
    <t>Total Liabilities and OE</t>
  </si>
  <si>
    <t>P50 Production (1st yr.)</t>
  </si>
  <si>
    <t>P99 Production (1st yr.)</t>
  </si>
  <si>
    <t>Bgn Balance</t>
  </si>
  <si>
    <t>End Balance</t>
  </si>
  <si>
    <t>Max Debt</t>
  </si>
  <si>
    <t>Balance Sheet</t>
  </si>
  <si>
    <t>Cashflow Statement</t>
  </si>
  <si>
    <t>Taxable Income</t>
  </si>
  <si>
    <t>Depreciation</t>
  </si>
  <si>
    <t>Cashflow from Financing</t>
  </si>
  <si>
    <t>Debt Servicing</t>
  </si>
  <si>
    <t>Equity</t>
  </si>
  <si>
    <t>Net Change in Cash</t>
  </si>
  <si>
    <t>Total Cashflow from Investing</t>
  </si>
  <si>
    <t>Total Cashflow from Operations</t>
  </si>
  <si>
    <t>Total Cashflow from Financing</t>
  </si>
  <si>
    <t>Beginning Cash Balance</t>
  </si>
  <si>
    <t>Ending Cash Balance</t>
  </si>
  <si>
    <t>Loan Term</t>
  </si>
  <si>
    <t>Production</t>
  </si>
  <si>
    <t>Period (1 = full, &lt;1 = Partial)</t>
  </si>
  <si>
    <t>ITC Investor Ownership %</t>
  </si>
  <si>
    <t>Partnership Flip Yes/No</t>
  </si>
  <si>
    <t>Model period (Years)</t>
  </si>
  <si>
    <t>Quarter</t>
  </si>
  <si>
    <t>Placement in Service Date</t>
  </si>
  <si>
    <t>Labels</t>
  </si>
  <si>
    <t>User Input</t>
  </si>
  <si>
    <t>Problem Statement/Hyphotesis:</t>
  </si>
  <si>
    <t xml:space="preserve">STL Solar, is a startup solar energy developer planning a new solar project. STL Solar’s main objective is to maximize profit from the project. </t>
  </si>
  <si>
    <t>Fixed Text</t>
  </si>
  <si>
    <t>Logic &amp;/ Formular:</t>
  </si>
  <si>
    <t>Net Profit: Revenue - Expenses; Revenue = Production x PPA Rate; Production = Size x Irradiation x Capacity Factor; DSCR = EBITDA / Debt Payment</t>
  </si>
  <si>
    <t>Input list</t>
  </si>
  <si>
    <t>Assumtions</t>
  </si>
  <si>
    <t>Known Decision Options/Solutions</t>
  </si>
  <si>
    <t>Input Name</t>
  </si>
  <si>
    <t>Input Type*</t>
  </si>
  <si>
    <t>Value**</t>
  </si>
  <si>
    <t xml:space="preserve">Data Variable Type***
</t>
  </si>
  <si>
    <r>
      <t xml:space="preserve">Input/Data Source 
</t>
    </r>
    <r>
      <rPr>
        <b/>
        <i/>
        <sz val="8"/>
        <color theme="1"/>
        <rFont val="Arial"/>
        <family val="2"/>
      </rPr>
      <t>(if known)</t>
    </r>
  </si>
  <si>
    <t>Description/Explation</t>
  </si>
  <si>
    <t xml:space="preserve">Related Input Variable if Any 
</t>
  </si>
  <si>
    <t xml:space="preserve">Value if Any </t>
  </si>
  <si>
    <t xml:space="preserve"> #</t>
  </si>
  <si>
    <t>Input</t>
  </si>
  <si>
    <t>Discription/Explanation</t>
  </si>
  <si>
    <t>Construction Start Date</t>
  </si>
  <si>
    <t>Date</t>
  </si>
  <si>
    <t xml:space="preserve">Decision
</t>
  </si>
  <si>
    <t>User</t>
  </si>
  <si>
    <t>Bonus Depreciation</t>
  </si>
  <si>
    <t>Land Cost</t>
  </si>
  <si>
    <t>Currency</t>
  </si>
  <si>
    <t xml:space="preserve">Fixed
</t>
  </si>
  <si>
    <t>Number: MWdc</t>
  </si>
  <si>
    <t>MWdc size of solar project</t>
  </si>
  <si>
    <t>PPA Rate</t>
  </si>
  <si>
    <t>Higher or lower than 0.058</t>
  </si>
  <si>
    <t>Construction Time</t>
  </si>
  <si>
    <t>Number: Months</t>
  </si>
  <si>
    <t>Estimated construction duration</t>
  </si>
  <si>
    <t>Operating Life</t>
  </si>
  <si>
    <t>Number: Years</t>
  </si>
  <si>
    <t>Duration project is expected to run</t>
  </si>
  <si>
    <t>Currency: USD/kWh</t>
  </si>
  <si>
    <t>Initial Power Purchase Agreement rate</t>
  </si>
  <si>
    <t>Irradiation</t>
  </si>
  <si>
    <t>Number: kWh/m²/year</t>
  </si>
  <si>
    <t>Estimated average annual sunlight</t>
  </si>
  <si>
    <t>Capacity Factor</t>
  </si>
  <si>
    <t xml:space="preserve">Drived/Fixed
</t>
  </si>
  <si>
    <t>Third Party</t>
  </si>
  <si>
    <t>Est. plant uptime efficiency</t>
  </si>
  <si>
    <t xml:space="preserve">Currency: USD/MWdc
</t>
  </si>
  <si>
    <t>User/Client Database</t>
  </si>
  <si>
    <t>Insurance against common perils</t>
  </si>
  <si>
    <t>Operations and maintenance</t>
  </si>
  <si>
    <t>Site Lease</t>
  </si>
  <si>
    <t>Asset Mgmt</t>
  </si>
  <si>
    <t>Asset Management Fees</t>
  </si>
  <si>
    <t>Misc cost = 3000 x Size</t>
  </si>
  <si>
    <t>Text: Selection</t>
  </si>
  <si>
    <t>Bonus depreciation</t>
  </si>
  <si>
    <t>100% depreciation on CapEx in year 1</t>
  </si>
  <si>
    <t>Debt Coverage P50</t>
  </si>
  <si>
    <t>Number</t>
  </si>
  <si>
    <t>Debt Service Coverage Ratio required at P50</t>
  </si>
  <si>
    <t>Debt Coverage P99</t>
  </si>
  <si>
    <t>Debt Service Coverage Ratio required at P99</t>
  </si>
  <si>
    <t>CO2 offset</t>
  </si>
  <si>
    <t>Number: /MWh</t>
  </si>
  <si>
    <t>EPA</t>
  </si>
  <si>
    <t>Input to estimate carbon offset generated by project</t>
  </si>
  <si>
    <t>O&amp;M Annual Escalation</t>
  </si>
  <si>
    <t>Percentage</t>
  </si>
  <si>
    <t>% O&amp;M grows by annually</t>
  </si>
  <si>
    <t>Site Leaset Annual Escalation</t>
  </si>
  <si>
    <t>% Site Lease grows by annually</t>
  </si>
  <si>
    <t>*</t>
  </si>
  <si>
    <t>Input Type 
(Decision/Fixed)</t>
  </si>
  <si>
    <t>**</t>
  </si>
  <si>
    <t>Value
(if known, if dataset leave blank)</t>
  </si>
  <si>
    <t>***</t>
  </si>
  <si>
    <t>Data Variable Type 
Number, Date and Time, Text, Logical (boolean)</t>
  </si>
  <si>
    <t xml:space="preserve">Yield </t>
  </si>
  <si>
    <t>kWh/kWdc</t>
  </si>
  <si>
    <t>Project Size (DC)</t>
  </si>
  <si>
    <t>Project Size (AC)</t>
  </si>
  <si>
    <t>Number: MWac</t>
  </si>
  <si>
    <t>Number: $/Wdc</t>
  </si>
  <si>
    <t>Months</t>
  </si>
  <si>
    <t>days</t>
  </si>
  <si>
    <t>days (plus)</t>
  </si>
  <si>
    <t>Month</t>
  </si>
  <si>
    <t>STL Solar Model</t>
  </si>
  <si>
    <t>ITC Amount</t>
  </si>
  <si>
    <t>Term Loan Size</t>
  </si>
  <si>
    <t>Tax Equity</t>
  </si>
  <si>
    <t>Construction</t>
  </si>
  <si>
    <t>Dates</t>
  </si>
  <si>
    <t>Debt Sizing</t>
  </si>
  <si>
    <t>% of Developer Capital Funded</t>
  </si>
  <si>
    <t>Project Name</t>
  </si>
  <si>
    <t>Project ID</t>
  </si>
  <si>
    <t>General Assumptions</t>
  </si>
  <si>
    <t>Formula/ Fixed Input</t>
  </si>
  <si>
    <t>Manual Input</t>
  </si>
  <si>
    <t>Linked to Other Tabs</t>
  </si>
  <si>
    <t>$/Wdc</t>
  </si>
  <si>
    <t>Funding Schedule</t>
  </si>
  <si>
    <t>Description</t>
  </si>
  <si>
    <t>Scenario</t>
  </si>
  <si>
    <t>00001</t>
  </si>
  <si>
    <t>Data Studies</t>
  </si>
  <si>
    <t>Input Tab</t>
  </si>
  <si>
    <t>Tabs</t>
  </si>
  <si>
    <t>Model Inputs &amp; Tabs</t>
  </si>
  <si>
    <t>Output Tab</t>
  </si>
  <si>
    <t>Investor</t>
  </si>
  <si>
    <t>Developer</t>
  </si>
  <si>
    <t>GENERAL INPUTS &amp; ASSUMPTIONS</t>
  </si>
  <si>
    <t>OVERVIEW</t>
  </si>
  <si>
    <t>SUMMARY INPUTS &amp; ASSUMPTIONS</t>
  </si>
  <si>
    <t>CALCULATIONS</t>
  </si>
  <si>
    <t>FINANCIAL STATEMENTS</t>
  </si>
  <si>
    <t>DEBT SIZING</t>
  </si>
  <si>
    <t>CAPITAL CONTRIBUTIONS</t>
  </si>
  <si>
    <t>INFLUENCE CHART/MODEL FLOW</t>
  </si>
  <si>
    <t>DATA</t>
  </si>
  <si>
    <t>ANALYSIS</t>
  </si>
  <si>
    <t>DASHBOARD</t>
  </si>
  <si>
    <t>GENERAL DASHBOARD</t>
  </si>
  <si>
    <t>SCENARIOS</t>
  </si>
  <si>
    <t>EXTERNAL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</si>
</sst>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\x"/>
    <numFmt numFmtId="166" formatCode="&quot;$&quot;#,##0.000_);\(&quot;$&quot;#,##0.000\)"/>
    <numFmt numFmtId="167" formatCode="0.0%"/>
    <numFmt numFmtId="168" formatCode="_(* #,##0.000_);_(* \(#,##0.000\);_(* &quot;-&quot;??_);_(@_)"/>
    <numFmt numFmtId="169" formatCode="_(&quot;$&quot;* #,##0_);_(&quot;$&quot;* \(#,##0\);_(&quot;$&quot;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u/>
      <sz val="9"/>
      <color theme="1"/>
      <name val="Arial"/>
      <family val="2"/>
    </font>
    <font>
      <b/>
      <sz val="10"/>
      <color theme="1"/>
      <name val="Arial"/>
      <family val="2"/>
    </font>
    <font>
      <sz val="9"/>
      <name val="Arial"/>
      <family val="2"/>
    </font>
    <font>
      <i/>
      <sz val="8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9"/>
      <color theme="7" tint="-0.499984740745262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9"/>
      <color rgb="FF3F3F76"/>
      <name val="Arial"/>
      <family val="2"/>
    </font>
    <font>
      <b/>
      <sz val="9"/>
      <color rgb="FF3F3F76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8"/>
      <color theme="1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  <font>
      <sz val="9"/>
      <color rgb="FF008000"/>
      <name val="Arial"/>
      <family val="2"/>
    </font>
    <font>
      <b/>
      <sz val="10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FFFFFF"/>
      </patternFill>
    </fill>
    <fill>
      <patternFill patternType="solid">
        <fgColor rgb="FFB90B2E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3" borderId="12" applyNumberFormat="0" applyAlignment="0" applyProtection="0"/>
    <xf numFmtId="0" fontId="10" fillId="4" borderId="13" applyNumberFormat="0" applyAlignment="0" applyProtection="0"/>
    <xf numFmtId="0" fontId="19" fillId="0" borderId="0"/>
    <xf numFmtId="0" fontId="34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43" fontId="2" fillId="0" borderId="0" xfId="1" applyFont="1"/>
    <xf numFmtId="9" fontId="2" fillId="0" borderId="0" xfId="2" applyFont="1"/>
    <xf numFmtId="164" fontId="2" fillId="0" borderId="0" xfId="1" applyNumberFormat="1" applyFont="1"/>
    <xf numFmtId="164" fontId="2" fillId="0" borderId="0" xfId="1" applyNumberFormat="1" applyFont="1" applyBorder="1"/>
    <xf numFmtId="164" fontId="2" fillId="0" borderId="0" xfId="0" applyNumberFormat="1" applyFont="1"/>
    <xf numFmtId="0" fontId="4" fillId="0" borderId="5" xfId="0" applyFont="1" applyBorder="1"/>
    <xf numFmtId="14" fontId="2" fillId="0" borderId="0" xfId="0" applyNumberFormat="1" applyFont="1"/>
    <xf numFmtId="164" fontId="2" fillId="0" borderId="0" xfId="1" applyNumberFormat="1" applyFont="1" applyFill="1" applyBorder="1"/>
    <xf numFmtId="9" fontId="2" fillId="0" borderId="0" xfId="2" applyFont="1" applyFill="1" applyBorder="1"/>
    <xf numFmtId="0" fontId="4" fillId="0" borderId="0" xfId="0" applyFont="1"/>
    <xf numFmtId="44" fontId="2" fillId="0" borderId="0" xfId="3" applyFont="1" applyFill="1" applyBorder="1"/>
    <xf numFmtId="43" fontId="2" fillId="0" borderId="0" xfId="0" applyNumberFormat="1" applyFont="1"/>
    <xf numFmtId="43" fontId="4" fillId="0" borderId="0" xfId="1" applyFont="1"/>
    <xf numFmtId="0" fontId="2" fillId="0" borderId="1" xfId="0" applyFont="1" applyBorder="1" applyAlignment="1">
      <alignment horizontal="center" wrapText="1"/>
    </xf>
    <xf numFmtId="0" fontId="2" fillId="0" borderId="6" xfId="0" applyFont="1" applyBorder="1"/>
    <xf numFmtId="43" fontId="4" fillId="0" borderId="6" xfId="1" applyFont="1" applyBorder="1"/>
    <xf numFmtId="0" fontId="2" fillId="0" borderId="0" xfId="1" applyNumberFormat="1" applyFont="1"/>
    <xf numFmtId="167" fontId="2" fillId="0" borderId="0" xfId="2" applyNumberFormat="1" applyFont="1"/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/>
    <xf numFmtId="43" fontId="2" fillId="0" borderId="0" xfId="1" applyFont="1" applyFill="1"/>
    <xf numFmtId="4" fontId="2" fillId="0" borderId="0" xfId="1" applyNumberFormat="1" applyFont="1" applyFill="1"/>
    <xf numFmtId="3" fontId="2" fillId="0" borderId="0" xfId="1" applyNumberFormat="1" applyFont="1" applyFill="1"/>
    <xf numFmtId="9" fontId="2" fillId="0" borderId="0" xfId="2" applyFont="1" applyFill="1"/>
    <xf numFmtId="166" fontId="2" fillId="0" borderId="0" xfId="3" applyNumberFormat="1" applyFont="1" applyFill="1"/>
    <xf numFmtId="164" fontId="2" fillId="0" borderId="0" xfId="1" applyNumberFormat="1" applyFont="1" applyFill="1"/>
    <xf numFmtId="164" fontId="2" fillId="0" borderId="2" xfId="1" applyNumberFormat="1" applyFont="1" applyFill="1" applyBorder="1"/>
    <xf numFmtId="164" fontId="4" fillId="0" borderId="3" xfId="1" applyNumberFormat="1" applyFont="1" applyFill="1" applyBorder="1"/>
    <xf numFmtId="164" fontId="2" fillId="0" borderId="3" xfId="1" applyNumberFormat="1" applyFont="1" applyFill="1" applyBorder="1"/>
    <xf numFmtId="0" fontId="2" fillId="0" borderId="8" xfId="0" applyFont="1" applyBorder="1"/>
    <xf numFmtId="0" fontId="2" fillId="0" borderId="10" xfId="0" applyFont="1" applyBorder="1"/>
    <xf numFmtId="0" fontId="2" fillId="0" borderId="2" xfId="0" applyFont="1" applyBorder="1"/>
    <xf numFmtId="0" fontId="2" fillId="0" borderId="0" xfId="1" applyNumberFormat="1" applyFont="1" applyBorder="1"/>
    <xf numFmtId="167" fontId="2" fillId="0" borderId="0" xfId="2" applyNumberFormat="1" applyFont="1" applyBorder="1"/>
    <xf numFmtId="0" fontId="2" fillId="0" borderId="0" xfId="1" applyNumberFormat="1" applyFont="1" applyFill="1" applyBorder="1"/>
    <xf numFmtId="167" fontId="2" fillId="0" borderId="0" xfId="2" applyNumberFormat="1" applyFont="1" applyFill="1" applyBorder="1"/>
    <xf numFmtId="8" fontId="2" fillId="0" borderId="0" xfId="0" applyNumberFormat="1" applyFont="1"/>
    <xf numFmtId="9" fontId="7" fillId="0" borderId="1" xfId="2" applyFont="1" applyFill="1" applyBorder="1"/>
    <xf numFmtId="164" fontId="4" fillId="0" borderId="0" xfId="1" applyNumberFormat="1" applyFont="1" applyFill="1" applyBorder="1"/>
    <xf numFmtId="0" fontId="4" fillId="0" borderId="1" xfId="0" applyFont="1" applyBorder="1"/>
    <xf numFmtId="3" fontId="8" fillId="0" borderId="0" xfId="0" applyNumberFormat="1" applyFont="1" applyAlignment="1">
      <alignment horizontal="center"/>
    </xf>
    <xf numFmtId="3" fontId="4" fillId="0" borderId="0" xfId="1" applyNumberFormat="1" applyFont="1" applyFill="1"/>
    <xf numFmtId="164" fontId="4" fillId="0" borderId="6" xfId="0" applyNumberFormat="1" applyFont="1" applyBorder="1"/>
    <xf numFmtId="43" fontId="4" fillId="0" borderId="6" xfId="0" applyNumberFormat="1" applyFont="1" applyBorder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9" fontId="7" fillId="0" borderId="0" xfId="2" applyFont="1" applyFill="1" applyBorder="1"/>
    <xf numFmtId="0" fontId="6" fillId="0" borderId="0" xfId="0" applyFont="1"/>
    <xf numFmtId="0" fontId="11" fillId="0" borderId="0" xfId="0" applyFont="1"/>
    <xf numFmtId="0" fontId="4" fillId="0" borderId="7" xfId="0" applyFont="1" applyBorder="1" applyAlignment="1">
      <alignment horizontal="center"/>
    </xf>
    <xf numFmtId="43" fontId="4" fillId="0" borderId="1" xfId="1" applyFont="1" applyFill="1" applyBorder="1"/>
    <xf numFmtId="167" fontId="2" fillId="0" borderId="7" xfId="2" applyNumberFormat="1" applyFont="1" applyFill="1" applyBorder="1"/>
    <xf numFmtId="0" fontId="15" fillId="3" borderId="0" xfId="2" applyNumberFormat="1" applyFont="1" applyFill="1" applyBorder="1" applyAlignment="1">
      <alignment vertical="top"/>
    </xf>
    <xf numFmtId="167" fontId="16" fillId="3" borderId="0" xfId="2" applyNumberFormat="1" applyFont="1" applyFill="1" applyBorder="1"/>
    <xf numFmtId="165" fontId="2" fillId="0" borderId="0" xfId="0" applyNumberFormat="1" applyFont="1" applyAlignment="1">
      <alignment horizontal="center"/>
    </xf>
    <xf numFmtId="164" fontId="2" fillId="0" borderId="7" xfId="1" applyNumberFormat="1" applyFont="1" applyFill="1" applyBorder="1"/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14" fontId="21" fillId="3" borderId="7" xfId="4" applyNumberFormat="1" applyFont="1" applyBorder="1" applyAlignment="1">
      <alignment horizontal="center" vertical="center"/>
    </xf>
    <xf numFmtId="0" fontId="22" fillId="0" borderId="0" xfId="0" applyFont="1" applyAlignment="1">
      <alignment horizontal="right"/>
    </xf>
    <xf numFmtId="0" fontId="20" fillId="6" borderId="15" xfId="0" applyFont="1" applyFill="1" applyBorder="1" applyAlignment="1">
      <alignment horizontal="centerContinuous" vertical="top"/>
    </xf>
    <xf numFmtId="0" fontId="20" fillId="6" borderId="16" xfId="0" applyFont="1" applyFill="1" applyBorder="1"/>
    <xf numFmtId="0" fontId="6" fillId="0" borderId="7" xfId="0" applyFont="1" applyBorder="1" applyAlignment="1">
      <alignment horizontal="center"/>
    </xf>
    <xf numFmtId="0" fontId="18" fillId="6" borderId="14" xfId="0" applyFont="1" applyFill="1" applyBorder="1" applyAlignment="1">
      <alignment horizontal="centerContinuous" vertical="center"/>
    </xf>
    <xf numFmtId="0" fontId="22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6" fillId="0" borderId="0" xfId="0" applyFont="1" applyAlignment="1">
      <alignment horizontal="centerContinuous" vertical="top"/>
    </xf>
    <xf numFmtId="0" fontId="6" fillId="0" borderId="0" xfId="0" applyFont="1" applyAlignment="1">
      <alignment horizontal="centerContinuous"/>
    </xf>
    <xf numFmtId="0" fontId="6" fillId="0" borderId="7" xfId="0" applyFont="1" applyBorder="1" applyAlignment="1">
      <alignment vertical="top" wrapText="1"/>
    </xf>
    <xf numFmtId="0" fontId="6" fillId="0" borderId="7" xfId="0" applyFont="1" applyBorder="1" applyAlignment="1">
      <alignment horizontal="center" vertical="top" wrapText="1"/>
    </xf>
    <xf numFmtId="9" fontId="15" fillId="7" borderId="12" xfId="4" applyNumberFormat="1" applyFont="1" applyFill="1" applyAlignment="1">
      <alignment vertical="top"/>
    </xf>
    <xf numFmtId="14" fontId="15" fillId="7" borderId="12" xfId="1" applyNumberFormat="1" applyFont="1" applyFill="1" applyBorder="1" applyAlignment="1">
      <alignment vertical="top"/>
    </xf>
    <xf numFmtId="9" fontId="15" fillId="7" borderId="12" xfId="4" applyNumberFormat="1" applyFont="1" applyFill="1" applyAlignment="1">
      <alignment vertical="top" wrapText="1"/>
    </xf>
    <xf numFmtId="9" fontId="15" fillId="7" borderId="12" xfId="4" applyNumberFormat="1" applyFont="1" applyFill="1" applyAlignment="1">
      <alignment horizontal="left" vertical="top"/>
    </xf>
    <xf numFmtId="0" fontId="20" fillId="0" borderId="7" xfId="0" applyFont="1" applyBorder="1"/>
    <xf numFmtId="10" fontId="15" fillId="7" borderId="12" xfId="4" applyNumberFormat="1" applyFont="1" applyFill="1" applyAlignment="1">
      <alignment vertical="top"/>
    </xf>
    <xf numFmtId="164" fontId="15" fillId="7" borderId="12" xfId="1" applyNumberFormat="1" applyFont="1" applyFill="1" applyBorder="1" applyAlignment="1">
      <alignment vertical="top"/>
    </xf>
    <xf numFmtId="43" fontId="15" fillId="7" borderId="12" xfId="1" applyFont="1" applyFill="1" applyBorder="1" applyAlignment="1">
      <alignment vertical="top"/>
    </xf>
    <xf numFmtId="168" fontId="15" fillId="7" borderId="12" xfId="1" applyNumberFormat="1" applyFont="1" applyFill="1" applyBorder="1" applyAlignment="1">
      <alignment vertical="top"/>
    </xf>
    <xf numFmtId="9" fontId="15" fillId="7" borderId="12" xfId="4" quotePrefix="1" applyNumberFormat="1" applyFont="1" applyFill="1" applyAlignment="1">
      <alignment vertical="top"/>
    </xf>
    <xf numFmtId="43" fontId="15" fillId="7" borderId="12" xfId="1" applyFont="1" applyFill="1" applyBorder="1" applyAlignment="1">
      <alignment horizontal="right" vertical="top"/>
    </xf>
    <xf numFmtId="9" fontId="15" fillId="7" borderId="12" xfId="2" applyFont="1" applyFill="1" applyBorder="1" applyAlignment="1">
      <alignment vertical="top"/>
    </xf>
    <xf numFmtId="0" fontId="15" fillId="7" borderId="12" xfId="4" applyFont="1" applyFill="1" applyAlignment="1">
      <alignment vertical="top"/>
    </xf>
    <xf numFmtId="0" fontId="15" fillId="7" borderId="12" xfId="4" applyFont="1" applyFill="1" applyAlignment="1">
      <alignment horizontal="left" vertical="top"/>
    </xf>
    <xf numFmtId="0" fontId="24" fillId="0" borderId="0" xfId="0" applyFont="1"/>
    <xf numFmtId="10" fontId="15" fillId="7" borderId="12" xfId="2" applyNumberFormat="1" applyFont="1" applyFill="1" applyBorder="1" applyAlignment="1">
      <alignment vertical="top"/>
    </xf>
    <xf numFmtId="0" fontId="5" fillId="0" borderId="0" xfId="0" applyFont="1"/>
    <xf numFmtId="0" fontId="17" fillId="0" borderId="0" xfId="0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5" fillId="0" borderId="0" xfId="2" applyNumberFormat="1" applyFont="1" applyFill="1" applyBorder="1" applyAlignment="1">
      <alignment vertical="top"/>
    </xf>
    <xf numFmtId="14" fontId="15" fillId="0" borderId="0" xfId="4" applyNumberFormat="1" applyFont="1" applyFill="1" applyBorder="1"/>
    <xf numFmtId="0" fontId="14" fillId="0" borderId="0" xfId="0" applyFont="1"/>
    <xf numFmtId="9" fontId="2" fillId="0" borderId="0" xfId="0" applyNumberFormat="1" applyFont="1"/>
    <xf numFmtId="9" fontId="15" fillId="3" borderId="0" xfId="2" applyFont="1" applyFill="1" applyBorder="1" applyAlignment="1">
      <alignment vertical="top"/>
    </xf>
    <xf numFmtId="164" fontId="15" fillId="0" borderId="0" xfId="4" applyNumberFormat="1" applyFont="1" applyFill="1" applyBorder="1"/>
    <xf numFmtId="9" fontId="16" fillId="3" borderId="0" xfId="2" applyFont="1" applyFill="1" applyBorder="1" applyAlignment="1">
      <alignment horizontal="center" vertical="top"/>
    </xf>
    <xf numFmtId="0" fontId="16" fillId="3" borderId="0" xfId="2" applyNumberFormat="1" applyFont="1" applyFill="1" applyBorder="1" applyAlignment="1">
      <alignment vertical="top"/>
    </xf>
    <xf numFmtId="164" fontId="6" fillId="0" borderId="7" xfId="1" applyNumberFormat="1" applyFont="1" applyFill="1" applyBorder="1"/>
    <xf numFmtId="44" fontId="2" fillId="0" borderId="0" xfId="0" applyNumberFormat="1" applyFont="1"/>
    <xf numFmtId="0" fontId="15" fillId="3" borderId="0" xfId="2" applyNumberFormat="1" applyFont="1" applyFill="1" applyBorder="1" applyAlignment="1">
      <alignment horizontal="center" vertical="top"/>
    </xf>
    <xf numFmtId="0" fontId="27" fillId="8" borderId="0" xfId="0" applyFont="1" applyFill="1" applyAlignment="1">
      <alignment vertical="center"/>
    </xf>
    <xf numFmtId="169" fontId="2" fillId="0" borderId="0" xfId="3" applyNumberFormat="1" applyFont="1" applyFill="1" applyBorder="1"/>
    <xf numFmtId="0" fontId="28" fillId="0" borderId="0" xfId="0" applyFont="1" applyAlignment="1">
      <alignment horizontal="left" vertical="center"/>
    </xf>
    <xf numFmtId="0" fontId="15" fillId="3" borderId="0" xfId="2" applyNumberFormat="1" applyFont="1" applyFill="1" applyBorder="1" applyAlignment="1">
      <alignment vertical="center"/>
    </xf>
    <xf numFmtId="0" fontId="30" fillId="0" borderId="0" xfId="0" applyFont="1"/>
    <xf numFmtId="9" fontId="30" fillId="0" borderId="0" xfId="2" applyFont="1" applyFill="1" applyBorder="1"/>
    <xf numFmtId="10" fontId="30" fillId="0" borderId="0" xfId="2" applyNumberFormat="1" applyFont="1" applyFill="1" applyBorder="1"/>
    <xf numFmtId="10" fontId="30" fillId="0" borderId="0" xfId="0" applyNumberFormat="1" applyFont="1"/>
    <xf numFmtId="165" fontId="30" fillId="0" borderId="0" xfId="0" applyNumberFormat="1" applyFont="1"/>
    <xf numFmtId="0" fontId="29" fillId="0" borderId="0" xfId="0" applyFont="1"/>
    <xf numFmtId="43" fontId="31" fillId="0" borderId="0" xfId="5" applyNumberFormat="1" applyFont="1" applyFill="1" applyBorder="1"/>
    <xf numFmtId="0" fontId="19" fillId="0" borderId="0" xfId="0" applyFont="1" applyAlignment="1">
      <alignment vertical="center"/>
    </xf>
    <xf numFmtId="0" fontId="2" fillId="0" borderId="8" xfId="0" applyFont="1" applyBorder="1" applyAlignment="1">
      <alignment horizontal="left"/>
    </xf>
    <xf numFmtId="9" fontId="15" fillId="3" borderId="9" xfId="2" applyFont="1" applyFill="1" applyBorder="1" applyAlignment="1">
      <alignment vertical="top"/>
    </xf>
    <xf numFmtId="0" fontId="2" fillId="0" borderId="10" xfId="0" applyFont="1" applyBorder="1" applyAlignment="1">
      <alignment horizontal="left"/>
    </xf>
    <xf numFmtId="9" fontId="15" fillId="3" borderId="11" xfId="2" applyFont="1" applyFill="1" applyBorder="1" applyAlignment="1">
      <alignment vertical="top"/>
    </xf>
    <xf numFmtId="0" fontId="27" fillId="8" borderId="0" xfId="0" applyFont="1" applyFill="1" applyAlignment="1">
      <alignment horizontal="center" vertical="center"/>
    </xf>
    <xf numFmtId="0" fontId="16" fillId="3" borderId="0" xfId="2" applyNumberFormat="1" applyFont="1" applyFill="1" applyBorder="1" applyAlignment="1">
      <alignment horizontal="center" vertical="top"/>
    </xf>
    <xf numFmtId="0" fontId="15" fillId="3" borderId="0" xfId="2" quotePrefix="1" applyNumberFormat="1" applyFont="1" applyFill="1" applyBorder="1" applyAlignment="1">
      <alignment horizontal="center" vertical="top"/>
    </xf>
    <xf numFmtId="0" fontId="30" fillId="0" borderId="0" xfId="0" applyFont="1" applyAlignment="1">
      <alignment horizontal="center"/>
    </xf>
    <xf numFmtId="0" fontId="2" fillId="5" borderId="0" xfId="0" applyFont="1" applyFill="1"/>
    <xf numFmtId="0" fontId="2" fillId="9" borderId="0" xfId="0" applyFont="1" applyFill="1"/>
    <xf numFmtId="0" fontId="2" fillId="0" borderId="9" xfId="0" applyFont="1" applyBorder="1"/>
    <xf numFmtId="164" fontId="2" fillId="0" borderId="9" xfId="1" applyNumberFormat="1" applyFont="1" applyBorder="1"/>
    <xf numFmtId="164" fontId="2" fillId="0" borderId="2" xfId="1" applyNumberFormat="1" applyFont="1" applyBorder="1"/>
    <xf numFmtId="164" fontId="2" fillId="0" borderId="11" xfId="1" applyNumberFormat="1" applyFont="1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4" fillId="0" borderId="20" xfId="1" applyNumberFormat="1" applyFont="1" applyBorder="1"/>
    <xf numFmtId="43" fontId="4" fillId="0" borderId="1" xfId="0" applyNumberFormat="1" applyFont="1" applyBorder="1"/>
    <xf numFmtId="43" fontId="4" fillId="2" borderId="1" xfId="0" applyNumberFormat="1" applyFont="1" applyFill="1" applyBorder="1"/>
    <xf numFmtId="164" fontId="4" fillId="2" borderId="1" xfId="1" applyNumberFormat="1" applyFont="1" applyFill="1" applyBorder="1"/>
    <xf numFmtId="43" fontId="2" fillId="0" borderId="0" xfId="1" applyFont="1" applyBorder="1"/>
    <xf numFmtId="164" fontId="2" fillId="2" borderId="0" xfId="0" applyNumberFormat="1" applyFont="1" applyFill="1"/>
    <xf numFmtId="164" fontId="2" fillId="2" borderId="0" xfId="1" applyNumberFormat="1" applyFont="1" applyFill="1" applyBorder="1"/>
    <xf numFmtId="0" fontId="2" fillId="2" borderId="0" xfId="0" applyFont="1" applyFill="1"/>
    <xf numFmtId="0" fontId="21" fillId="0" borderId="4" xfId="0" applyFont="1" applyBorder="1" applyAlignment="1">
      <alignment vertical="center"/>
    </xf>
    <xf numFmtId="0" fontId="32" fillId="0" borderId="0" xfId="0" applyFont="1"/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center"/>
    </xf>
    <xf numFmtId="0" fontId="18" fillId="0" borderId="0" xfId="0" quotePrefix="1" applyFont="1" applyAlignment="1">
      <alignment horizontal="center"/>
    </xf>
    <xf numFmtId="5" fontId="18" fillId="0" borderId="0" xfId="0" applyNumberFormat="1" applyFont="1" applyAlignment="1">
      <alignment horizontal="left" indent="1"/>
    </xf>
    <xf numFmtId="0" fontId="33" fillId="0" borderId="0" xfId="0" applyFont="1"/>
    <xf numFmtId="0" fontId="34" fillId="0" borderId="0" xfId="7" applyAlignment="1">
      <alignment horizontal="center"/>
    </xf>
    <xf numFmtId="0" fontId="12" fillId="0" borderId="14" xfId="0" applyFont="1" applyBorder="1" applyAlignment="1">
      <alignment horizontal="centerContinuous" vertical="center"/>
    </xf>
    <xf numFmtId="0" fontId="20" fillId="0" borderId="15" xfId="0" applyFont="1" applyBorder="1" applyAlignment="1">
      <alignment horizontal="centerContinuous" vertical="top"/>
    </xf>
    <xf numFmtId="0" fontId="20" fillId="0" borderId="16" xfId="0" applyFont="1" applyBorder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8">
    <cellStyle name="Comma" xfId="1" builtinId="3"/>
    <cellStyle name="Currency" xfId="3" builtinId="4"/>
    <cellStyle name="Hyperlink" xfId="7" builtinId="8"/>
    <cellStyle name="Input" xfId="4" builtinId="20"/>
    <cellStyle name="Normal" xfId="0" builtinId="0"/>
    <cellStyle name="Normal 2 2" xfId="6" xr:uid="{80A47463-399A-4C0F-A51A-10CF1CF11301}"/>
    <cellStyle name="Output" xfId="5" builtinId="21"/>
    <cellStyle name="Percent" xfId="2" builtinId="5"/>
  </cellStyles>
  <dxfs count="0"/>
  <tableStyles count="1" defaultTableStyle="TableStyleMedium2" defaultPivotStyle="PivotStyleLight16">
    <tableStyle name="Invisible" pivot="0" table="0" count="0" xr9:uid="{D9727932-8EF6-40E5-8F7A-8A5468ACF456}"/>
  </tableStyles>
  <colors>
    <mruColors>
      <color rgb="FF0000FF"/>
      <color rgb="FFB90B2E"/>
      <color rgb="FFFAF6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260803</xdr:colOff>
      <xdr:row>0</xdr:row>
      <xdr:rowOff>56697</xdr:rowOff>
    </xdr:from>
    <xdr:to>
      <xdr:col>12</xdr:col>
      <xdr:colOff>10432</xdr:colOff>
      <xdr:row>31</xdr:row>
      <xdr:rowOff>170996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F0016-47D7-846D-A907-2F6BA054F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803" y="56697"/>
          <a:ext cx="7097486" cy="60901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E1BC-126D-443F-84EE-D9B5C9E46928}">
  <dimension ref="A1:D72"/>
  <sheetViews>
    <sheetView view="pageBreakPreview" zoomScale="80" zoomScaleNormal="100" zoomScaleSheetLayoutView="80" workbookViewId="0">
      <selection activeCell="C14" sqref="C14"/>
    </sheetView>
  </sheetViews>
  <sheetFormatPr defaultRowHeight="14.4" x14ac:dyDescent="0.55000000000000004"/>
  <cols>
    <col min="1" max="1" width="2.578125" style="58" customWidth="1"/>
    <col min="2" max="2" width="22.83984375" style="58" customWidth="1"/>
    <col min="3" max="3" width="72.41796875" style="58" customWidth="1"/>
    <col min="4" max="4" width="7.83984375" style="58" customWidth="1"/>
  </cols>
  <sheetData>
    <row r="1" spans="1:4" ht="72.599999999999994" customHeight="1" x14ac:dyDescent="0.6">
      <c r="A1" s="156" t="str">
        <f>'Summary Inputs &amp; Assumptions'!A2</f>
        <v>STL Solar Model</v>
      </c>
      <c r="B1" s="156"/>
      <c r="C1" s="156" t="str">
        <f>'Summary Inputs &amp; Assumptions'!A2</f>
        <v>STL Solar Model</v>
      </c>
      <c r="D1" s="156"/>
    </row>
    <row r="2" spans="1:4" x14ac:dyDescent="0.55000000000000004">
      <c r="A2" s="157" t="str">
        <f>'Summary Inputs &amp; Assumptions'!G16</f>
        <v>Data Studies</v>
      </c>
      <c r="B2" s="157"/>
      <c r="C2" s="157"/>
      <c r="D2" s="157"/>
    </row>
    <row r="3" spans="1:4" x14ac:dyDescent="0.55000000000000004">
      <c r="A3" s="157"/>
      <c r="B3" s="157"/>
      <c r="C3" s="157"/>
      <c r="D3" s="157"/>
    </row>
    <row r="6" spans="1:4" x14ac:dyDescent="0.55000000000000004">
      <c r="A6" s="151" t="s">
        <v>233</v>
      </c>
    </row>
    <row r="7" spans="1:4" x14ac:dyDescent="0.55000000000000004">
      <c r="A7" s="146"/>
      <c r="B7" s="58" t="s">
        <v>234</v>
      </c>
      <c r="D7" s="152">
        <v>2</v>
      </c>
    </row>
    <row r="8" spans="1:4" x14ac:dyDescent="0.55000000000000004">
      <c r="A8" s="146"/>
      <c r="B8" s="58" t="s">
        <v>240</v>
      </c>
      <c r="D8" s="152">
        <v>3</v>
      </c>
    </row>
    <row r="9" spans="1:4" x14ac:dyDescent="0.55000000000000004">
      <c r="A9" s="147"/>
      <c r="B9" s="58" t="s">
        <v>235</v>
      </c>
      <c r="D9" s="152">
        <v>4</v>
      </c>
    </row>
    <row r="10" spans="1:4" x14ac:dyDescent="0.55000000000000004">
      <c r="A10" s="147"/>
      <c r="D10" s="148"/>
    </row>
    <row r="11" spans="1:4" x14ac:dyDescent="0.55000000000000004">
      <c r="A11" s="151" t="s">
        <v>236</v>
      </c>
    </row>
    <row r="12" spans="1:4" x14ac:dyDescent="0.55000000000000004">
      <c r="A12" s="147"/>
      <c r="B12" s="58" t="s">
        <v>237</v>
      </c>
      <c r="D12" s="152">
        <v>5</v>
      </c>
    </row>
    <row r="13" spans="1:4" x14ac:dyDescent="0.55000000000000004">
      <c r="A13" s="146"/>
      <c r="B13" s="58" t="s">
        <v>238</v>
      </c>
      <c r="D13" s="152">
        <v>6</v>
      </c>
    </row>
    <row r="14" spans="1:4" x14ac:dyDescent="0.55000000000000004">
      <c r="A14" s="147"/>
      <c r="B14" s="58" t="s">
        <v>239</v>
      </c>
      <c r="D14" s="152">
        <v>7</v>
      </c>
    </row>
    <row r="15" spans="1:4" x14ac:dyDescent="0.55000000000000004">
      <c r="D15" s="148"/>
    </row>
    <row r="16" spans="1:4" x14ac:dyDescent="0.55000000000000004">
      <c r="A16" s="151" t="s">
        <v>241</v>
      </c>
    </row>
    <row r="17" spans="1:4" x14ac:dyDescent="0.55000000000000004">
      <c r="A17" s="147"/>
      <c r="B17" s="58" t="s">
        <v>246</v>
      </c>
      <c r="D17" s="148"/>
    </row>
    <row r="18" spans="1:4" x14ac:dyDescent="0.55000000000000004">
      <c r="A18" s="147"/>
      <c r="B18" s="58" t="s">
        <v>242</v>
      </c>
      <c r="D18" s="148"/>
    </row>
    <row r="19" spans="1:4" x14ac:dyDescent="0.55000000000000004">
      <c r="A19" s="147"/>
      <c r="D19" s="148"/>
    </row>
    <row r="20" spans="1:4" x14ac:dyDescent="0.55000000000000004">
      <c r="A20" s="151" t="s">
        <v>243</v>
      </c>
    </row>
    <row r="21" spans="1:4" x14ac:dyDescent="0.55000000000000004">
      <c r="A21" s="146"/>
      <c r="B21" s="58" t="s">
        <v>244</v>
      </c>
      <c r="D21" s="148"/>
    </row>
    <row r="22" spans="1:4" x14ac:dyDescent="0.55000000000000004">
      <c r="A22" s="147"/>
      <c r="B22" s="58" t="s">
        <v>245</v>
      </c>
      <c r="D22" s="149"/>
    </row>
    <row r="23" spans="1:4" x14ac:dyDescent="0.55000000000000004">
      <c r="A23" s="147"/>
      <c r="D23" s="149"/>
    </row>
    <row r="24" spans="1:4" x14ac:dyDescent="0.55000000000000004">
      <c r="A24" s="147"/>
      <c r="D24" s="149"/>
    </row>
    <row r="25" spans="1:4" x14ac:dyDescent="0.55000000000000004">
      <c r="A25" s="147"/>
      <c r="D25" s="148"/>
    </row>
    <row r="26" spans="1:4" x14ac:dyDescent="0.55000000000000004">
      <c r="A26" s="147"/>
      <c r="D26" s="148"/>
    </row>
    <row r="27" spans="1:4" x14ac:dyDescent="0.55000000000000004">
      <c r="A27" s="150"/>
      <c r="D27" s="148"/>
    </row>
    <row r="28" spans="1:4" x14ac:dyDescent="0.55000000000000004">
      <c r="A28" s="150"/>
      <c r="D28" s="148"/>
    </row>
    <row r="29" spans="1:4" x14ac:dyDescent="0.55000000000000004">
      <c r="A29" s="150"/>
      <c r="D29" s="148"/>
    </row>
    <row r="30" spans="1:4" x14ac:dyDescent="0.55000000000000004">
      <c r="A30" s="150"/>
      <c r="D30" s="148"/>
    </row>
    <row r="31" spans="1:4" x14ac:dyDescent="0.55000000000000004">
      <c r="A31" s="150"/>
      <c r="D31" s="148"/>
    </row>
    <row r="32" spans="1:4" x14ac:dyDescent="0.55000000000000004">
      <c r="A32" s="146"/>
      <c r="D32" s="148"/>
    </row>
    <row r="33" spans="1:4" x14ac:dyDescent="0.55000000000000004">
      <c r="A33" s="147"/>
      <c r="D33" s="148"/>
    </row>
    <row r="34" spans="1:4" x14ac:dyDescent="0.55000000000000004">
      <c r="A34" s="147"/>
      <c r="D34" s="148"/>
    </row>
    <row r="35" spans="1:4" x14ac:dyDescent="0.55000000000000004">
      <c r="A35" s="147"/>
      <c r="D35" s="148"/>
    </row>
    <row r="36" spans="1:4" x14ac:dyDescent="0.55000000000000004">
      <c r="A36" s="147"/>
      <c r="D36" s="148"/>
    </row>
    <row r="37" spans="1:4" x14ac:dyDescent="0.55000000000000004">
      <c r="A37" s="147"/>
      <c r="D37" s="148"/>
    </row>
    <row r="38" spans="1:4" x14ac:dyDescent="0.55000000000000004">
      <c r="A38" s="147"/>
      <c r="D38" s="148"/>
    </row>
    <row r="39" spans="1:4" x14ac:dyDescent="0.55000000000000004">
      <c r="A39" s="147"/>
      <c r="D39" s="148"/>
    </row>
    <row r="40" spans="1:4" x14ac:dyDescent="0.55000000000000004">
      <c r="A40" s="147"/>
      <c r="D40" s="148"/>
    </row>
    <row r="41" spans="1:4" x14ac:dyDescent="0.55000000000000004">
      <c r="A41" s="147"/>
      <c r="D41" s="149"/>
    </row>
    <row r="42" spans="1:4" x14ac:dyDescent="0.55000000000000004">
      <c r="A42" s="147"/>
      <c r="D42" s="148"/>
    </row>
    <row r="43" spans="1:4" x14ac:dyDescent="0.55000000000000004">
      <c r="A43" s="147"/>
      <c r="D43" s="148"/>
    </row>
    <row r="44" spans="1:4" x14ac:dyDescent="0.55000000000000004">
      <c r="A44" s="146"/>
      <c r="D44" s="148"/>
    </row>
    <row r="45" spans="1:4" x14ac:dyDescent="0.55000000000000004">
      <c r="A45" s="147"/>
      <c r="D45" s="148"/>
    </row>
    <row r="46" spans="1:4" x14ac:dyDescent="0.55000000000000004">
      <c r="A46" s="147"/>
      <c r="D46" s="148"/>
    </row>
    <row r="47" spans="1:4" x14ac:dyDescent="0.55000000000000004">
      <c r="A47" s="147"/>
      <c r="D47" s="148"/>
    </row>
    <row r="48" spans="1:4" x14ac:dyDescent="0.55000000000000004">
      <c r="A48" s="147"/>
      <c r="D48" s="148"/>
    </row>
    <row r="49" spans="1:4" x14ac:dyDescent="0.55000000000000004">
      <c r="A49" s="146"/>
      <c r="D49" s="148"/>
    </row>
    <row r="50" spans="1:4" x14ac:dyDescent="0.55000000000000004">
      <c r="A50" s="147"/>
      <c r="D50" s="148"/>
    </row>
    <row r="51" spans="1:4" x14ac:dyDescent="0.55000000000000004">
      <c r="A51" s="147"/>
      <c r="D51" s="148"/>
    </row>
    <row r="52" spans="1:4" x14ac:dyDescent="0.55000000000000004">
      <c r="A52" s="147"/>
      <c r="D52" s="148"/>
    </row>
    <row r="53" spans="1:4" x14ac:dyDescent="0.55000000000000004">
      <c r="A53" s="147"/>
      <c r="D53" s="148"/>
    </row>
    <row r="54" spans="1:4" x14ac:dyDescent="0.55000000000000004">
      <c r="A54" s="147"/>
      <c r="D54" s="148"/>
    </row>
    <row r="55" spans="1:4" x14ac:dyDescent="0.55000000000000004">
      <c r="A55" s="147"/>
      <c r="D55" s="148"/>
    </row>
    <row r="56" spans="1:4" x14ac:dyDescent="0.55000000000000004">
      <c r="A56" s="147"/>
      <c r="D56" s="148"/>
    </row>
    <row r="57" spans="1:4" x14ac:dyDescent="0.55000000000000004">
      <c r="A57" s="147"/>
      <c r="D57" s="148"/>
    </row>
    <row r="58" spans="1:4" x14ac:dyDescent="0.55000000000000004">
      <c r="A58" s="147"/>
      <c r="D58" s="148"/>
    </row>
    <row r="59" spans="1:4" x14ac:dyDescent="0.55000000000000004">
      <c r="A59" s="147"/>
      <c r="D59" s="148"/>
    </row>
    <row r="60" spans="1:4" x14ac:dyDescent="0.55000000000000004">
      <c r="A60" s="147"/>
      <c r="D60" s="148"/>
    </row>
    <row r="61" spans="1:4" x14ac:dyDescent="0.55000000000000004">
      <c r="A61" s="147"/>
      <c r="D61" s="148"/>
    </row>
    <row r="62" spans="1:4" x14ac:dyDescent="0.55000000000000004">
      <c r="A62" s="147"/>
      <c r="D62" s="148"/>
    </row>
    <row r="63" spans="1:4" x14ac:dyDescent="0.55000000000000004">
      <c r="A63" s="147"/>
      <c r="D63" s="148"/>
    </row>
    <row r="64" spans="1:4" x14ac:dyDescent="0.55000000000000004">
      <c r="A64" s="147"/>
      <c r="D64" s="148"/>
    </row>
    <row r="65" spans="1:4" x14ac:dyDescent="0.55000000000000004">
      <c r="A65" s="147"/>
      <c r="D65" s="148"/>
    </row>
    <row r="66" spans="1:4" x14ac:dyDescent="0.55000000000000004">
      <c r="A66" s="147"/>
      <c r="D66" s="148"/>
    </row>
    <row r="67" spans="1:4" x14ac:dyDescent="0.55000000000000004">
      <c r="A67" s="147"/>
      <c r="D67" s="148"/>
    </row>
    <row r="68" spans="1:4" x14ac:dyDescent="0.55000000000000004">
      <c r="A68" s="147"/>
      <c r="D68" s="148"/>
    </row>
    <row r="69" spans="1:4" x14ac:dyDescent="0.55000000000000004">
      <c r="A69" s="147"/>
      <c r="D69" s="148"/>
    </row>
    <row r="70" spans="1:4" x14ac:dyDescent="0.55000000000000004">
      <c r="A70" s="147"/>
      <c r="D70" s="148"/>
    </row>
    <row r="71" spans="1:4" x14ac:dyDescent="0.55000000000000004">
      <c r="A71" s="147"/>
      <c r="D71" s="148"/>
    </row>
    <row r="72" spans="1:4" x14ac:dyDescent="0.55000000000000004">
      <c r="A72" s="147"/>
      <c r="D72" s="148"/>
    </row>
  </sheetData>
  <mergeCells count="3">
    <mergeCell ref="A1:D1"/>
    <mergeCell ref="A2:D2"/>
    <mergeCell ref="A3:D3"/>
  </mergeCells>
  <hyperlinks>
    <hyperlink ref="D7" location="Overview!A1" display="Overview!A1" xr:uid="{71E71A3C-96F5-42E8-A80F-6EE256FE8250}"/>
    <hyperlink ref="D8" location="'Influence Chart'!A1" display="'Influence Chart'!A1" xr:uid="{AAD87A51-8569-4429-8A01-E8B4A471AE04}"/>
    <hyperlink ref="D9" location="'Summary Inputs &amp; Assumptions'!Print_Area" display="'Summary Inputs &amp; Assumptions'!Print_Area" xr:uid="{D4682737-4133-4C3C-9C9B-0B2B2AF986B7}"/>
    <hyperlink ref="D12" location="'Financial Statements'!Print_Area" display="'Financial Statements'!Print_Area" xr:uid="{D54BAF87-3334-4E28-A505-71128E00FB31}"/>
    <hyperlink ref="D13" location="Debt!A1" display="Debt!A1" xr:uid="{95DDA988-C698-4D44-8E79-C6969A036AD4}"/>
    <hyperlink ref="D14" location="Debt!Print_Area" display="Debt!Print_Area" xr:uid="{F1F4656D-1B72-40A9-9B29-BD3AAC5732B4}"/>
  </hyperlink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5C52-50DC-4950-BBEA-0C4ACA59B1C6}">
  <sheetPr>
    <tabColor rgb="FFFFC000"/>
  </sheetPr>
  <dimension ref="A1:R57"/>
  <sheetViews>
    <sheetView showGridLines="0" view="pageBreakPreview" zoomScale="80" zoomScaleNormal="70" zoomScaleSheetLayoutView="80" workbookViewId="0">
      <selection activeCell="F31" sqref="F31"/>
    </sheetView>
  </sheetViews>
  <sheetFormatPr defaultColWidth="9.15625" defaultRowHeight="12.3" x14ac:dyDescent="0.4"/>
  <cols>
    <col min="1" max="1" width="2.578125" style="59" customWidth="1"/>
    <col min="2" max="2" width="28.578125" style="59" customWidth="1"/>
    <col min="3" max="3" width="12.41796875" style="59" customWidth="1"/>
    <col min="4" max="4" width="26" style="59" customWidth="1"/>
    <col min="5" max="5" width="20.15625" style="59" customWidth="1"/>
    <col min="6" max="6" width="18" style="59" customWidth="1"/>
    <col min="7" max="7" width="6.41796875" style="59" customWidth="1"/>
    <col min="8" max="8" width="42.15625" style="59" customWidth="1"/>
    <col min="9" max="9" width="34.578125" style="59" customWidth="1"/>
    <col min="10" max="10" width="17.578125" style="59" customWidth="1"/>
    <col min="11" max="11" width="12.26171875" style="59" customWidth="1"/>
    <col min="12" max="12" width="4.68359375" style="59" customWidth="1"/>
    <col min="13" max="13" width="17.578125" style="59" customWidth="1"/>
    <col min="14" max="14" width="43.15625" style="59" customWidth="1"/>
    <col min="15" max="15" width="7.26171875" style="59" customWidth="1"/>
    <col min="16" max="16" width="16.41796875" style="59" customWidth="1"/>
    <col min="17" max="16384" width="9.15625" style="59"/>
  </cols>
  <sheetData>
    <row r="1" spans="1:18" ht="19.899999999999999" customHeight="1" x14ac:dyDescent="0.4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x14ac:dyDescent="0.4">
      <c r="P2" s="61" t="s">
        <v>118</v>
      </c>
    </row>
    <row r="3" spans="1:18" x14ac:dyDescent="0.4">
      <c r="P3" s="62" t="s">
        <v>119</v>
      </c>
    </row>
    <row r="4" spans="1:18" ht="26.25" customHeight="1" x14ac:dyDescent="0.4">
      <c r="B4" s="49"/>
      <c r="C4" s="63" t="s">
        <v>120</v>
      </c>
      <c r="D4" s="153" t="s">
        <v>121</v>
      </c>
      <c r="E4" s="154"/>
      <c r="F4" s="154"/>
      <c r="G4" s="154"/>
      <c r="H4" s="154"/>
      <c r="I4" s="154"/>
      <c r="J4" s="154"/>
      <c r="K4" s="154"/>
      <c r="L4" s="154"/>
      <c r="M4" s="154"/>
      <c r="N4" s="155"/>
      <c r="P4" s="66" t="s">
        <v>122</v>
      </c>
    </row>
    <row r="6" spans="1:18" ht="20.25" customHeight="1" x14ac:dyDescent="0.4">
      <c r="C6" s="63" t="s">
        <v>123</v>
      </c>
      <c r="D6" s="67" t="s">
        <v>124</v>
      </c>
      <c r="E6" s="64"/>
      <c r="F6" s="64"/>
      <c r="G6" s="64"/>
      <c r="H6" s="64"/>
      <c r="I6" s="64"/>
      <c r="J6" s="64"/>
      <c r="K6" s="64"/>
      <c r="L6" s="64"/>
      <c r="M6" s="64"/>
      <c r="N6" s="65"/>
    </row>
    <row r="8" spans="1:18" x14ac:dyDescent="0.4">
      <c r="B8" s="68" t="s">
        <v>125</v>
      </c>
      <c r="C8" s="69"/>
      <c r="D8" s="69"/>
      <c r="E8" s="69"/>
      <c r="F8" s="69"/>
      <c r="H8" s="70" t="s">
        <v>126</v>
      </c>
      <c r="I8" s="71"/>
      <c r="J8" s="69"/>
      <c r="L8" s="72" t="s">
        <v>127</v>
      </c>
      <c r="M8" s="72"/>
      <c r="N8" s="69"/>
    </row>
    <row r="9" spans="1:18" ht="24.6" x14ac:dyDescent="0.4">
      <c r="B9" s="73" t="s">
        <v>128</v>
      </c>
      <c r="C9" s="74" t="s">
        <v>129</v>
      </c>
      <c r="D9" s="74" t="s">
        <v>130</v>
      </c>
      <c r="E9" s="74" t="s">
        <v>131</v>
      </c>
      <c r="F9" s="74" t="s">
        <v>132</v>
      </c>
      <c r="H9" s="74" t="s">
        <v>133</v>
      </c>
      <c r="I9" s="74" t="s">
        <v>134</v>
      </c>
      <c r="J9" s="74" t="s">
        <v>135</v>
      </c>
      <c r="L9" s="73" t="s">
        <v>136</v>
      </c>
      <c r="M9" s="73" t="s">
        <v>137</v>
      </c>
      <c r="N9" s="73" t="s">
        <v>138</v>
      </c>
    </row>
    <row r="10" spans="1:18" ht="15" customHeight="1" x14ac:dyDescent="0.4">
      <c r="B10" s="75" t="s">
        <v>139</v>
      </c>
      <c r="C10" s="75" t="s">
        <v>141</v>
      </c>
      <c r="D10" s="76">
        <v>44562</v>
      </c>
      <c r="E10" s="77" t="s">
        <v>140</v>
      </c>
      <c r="F10" s="75" t="s">
        <v>142</v>
      </c>
      <c r="H10" s="78"/>
      <c r="I10" s="75"/>
      <c r="J10" s="75"/>
      <c r="L10" s="79">
        <v>1</v>
      </c>
      <c r="M10" s="80" t="s">
        <v>100</v>
      </c>
      <c r="N10" s="80" t="s">
        <v>143</v>
      </c>
    </row>
    <row r="11" spans="1:18" x14ac:dyDescent="0.4">
      <c r="B11" s="75" t="s">
        <v>117</v>
      </c>
      <c r="C11" s="75" t="s">
        <v>141</v>
      </c>
      <c r="D11" s="76">
        <v>44727</v>
      </c>
      <c r="E11" s="77" t="s">
        <v>140</v>
      </c>
      <c r="F11" s="75" t="s">
        <v>142</v>
      </c>
      <c r="H11" s="88"/>
      <c r="I11" s="87"/>
      <c r="J11" s="87"/>
      <c r="L11" s="79">
        <v>2</v>
      </c>
      <c r="M11" s="80" t="s">
        <v>149</v>
      </c>
      <c r="N11" s="80" t="s">
        <v>150</v>
      </c>
    </row>
    <row r="12" spans="1:18" ht="15" customHeight="1" x14ac:dyDescent="0.4">
      <c r="B12" s="75" t="s">
        <v>154</v>
      </c>
      <c r="C12" s="75" t="s">
        <v>146</v>
      </c>
      <c r="D12" s="82">
        <v>30</v>
      </c>
      <c r="E12" s="77" t="s">
        <v>155</v>
      </c>
      <c r="F12" s="75" t="s">
        <v>142</v>
      </c>
      <c r="H12" s="78" t="s">
        <v>156</v>
      </c>
      <c r="I12" s="75"/>
      <c r="J12" s="75"/>
      <c r="L12" s="79">
        <v>3</v>
      </c>
      <c r="M12" s="80" t="s">
        <v>100</v>
      </c>
      <c r="N12" s="80" t="s">
        <v>47</v>
      </c>
    </row>
    <row r="14" spans="1:18" ht="15" customHeight="1" x14ac:dyDescent="0.4">
      <c r="B14" s="75" t="s">
        <v>200</v>
      </c>
      <c r="C14" s="75" t="s">
        <v>146</v>
      </c>
      <c r="D14" s="81">
        <v>2</v>
      </c>
      <c r="E14" s="77" t="s">
        <v>201</v>
      </c>
      <c r="F14" s="75" t="s">
        <v>142</v>
      </c>
      <c r="H14" s="78"/>
      <c r="I14" s="75"/>
      <c r="J14" s="75"/>
    </row>
    <row r="15" spans="1:18" ht="15" customHeight="1" x14ac:dyDescent="0.4">
      <c r="B15" s="75" t="s">
        <v>199</v>
      </c>
      <c r="C15" s="75" t="s">
        <v>146</v>
      </c>
      <c r="D15" s="82">
        <f>Project_Size_AC*1.36</f>
        <v>2.72</v>
      </c>
      <c r="E15" s="77" t="s">
        <v>147</v>
      </c>
      <c r="F15" s="75" t="s">
        <v>142</v>
      </c>
      <c r="H15" s="78" t="s">
        <v>148</v>
      </c>
      <c r="I15" s="75"/>
      <c r="J15" s="75"/>
    </row>
    <row r="16" spans="1:18" ht="15" customHeight="1" x14ac:dyDescent="0.4">
      <c r="B16" s="75" t="s">
        <v>159</v>
      </c>
      <c r="C16" s="75"/>
      <c r="D16" s="82">
        <v>1500</v>
      </c>
      <c r="E16" s="77" t="s">
        <v>160</v>
      </c>
      <c r="F16" s="75" t="s">
        <v>142</v>
      </c>
      <c r="H16" s="78" t="s">
        <v>161</v>
      </c>
      <c r="I16" s="75"/>
      <c r="J16" s="75"/>
    </row>
    <row r="17" spans="2:10" ht="15" customHeight="1" x14ac:dyDescent="0.4">
      <c r="B17" s="75" t="s">
        <v>197</v>
      </c>
      <c r="C17" s="75" t="s">
        <v>146</v>
      </c>
      <c r="D17" s="81">
        <v>1800</v>
      </c>
      <c r="E17" s="77" t="s">
        <v>198</v>
      </c>
      <c r="F17" s="75" t="s">
        <v>142</v>
      </c>
      <c r="H17" s="78"/>
      <c r="I17" s="75"/>
      <c r="J17" s="75"/>
    </row>
    <row r="18" spans="2:10" ht="15" customHeight="1" x14ac:dyDescent="0.4">
      <c r="B18" s="75" t="s">
        <v>162</v>
      </c>
      <c r="C18" s="75" t="s">
        <v>163</v>
      </c>
      <c r="D18" s="82">
        <v>0.85</v>
      </c>
      <c r="E18" s="77"/>
      <c r="F18" s="75" t="s">
        <v>164</v>
      </c>
      <c r="H18" s="78" t="s">
        <v>165</v>
      </c>
      <c r="I18" s="75"/>
      <c r="J18" s="75"/>
    </row>
    <row r="19" spans="2:10" ht="15" customHeight="1" x14ac:dyDescent="0.4">
      <c r="B19" s="75" t="s">
        <v>23</v>
      </c>
      <c r="C19" s="75" t="s">
        <v>146</v>
      </c>
      <c r="D19" s="90">
        <v>3.0000000000000001E-3</v>
      </c>
      <c r="E19" s="77" t="s">
        <v>187</v>
      </c>
      <c r="F19" s="75" t="s">
        <v>142</v>
      </c>
      <c r="H19" s="78"/>
      <c r="I19" s="75"/>
      <c r="J19" s="75"/>
    </row>
    <row r="20" spans="2:10" ht="15" customHeight="1" x14ac:dyDescent="0.4">
      <c r="B20" s="75" t="s">
        <v>44</v>
      </c>
      <c r="C20" s="75" t="s">
        <v>146</v>
      </c>
      <c r="D20" s="90">
        <v>1</v>
      </c>
      <c r="E20" s="77" t="s">
        <v>187</v>
      </c>
      <c r="F20" s="75" t="s">
        <v>142</v>
      </c>
      <c r="H20" s="78"/>
      <c r="I20" s="75"/>
      <c r="J20" s="75"/>
    </row>
    <row r="22" spans="2:10" ht="15" customHeight="1" x14ac:dyDescent="0.4">
      <c r="B22" s="75" t="s">
        <v>149</v>
      </c>
      <c r="C22" s="75" t="s">
        <v>141</v>
      </c>
      <c r="D22" s="83">
        <v>5.8000000000000003E-2</v>
      </c>
      <c r="E22" s="77" t="s">
        <v>157</v>
      </c>
      <c r="F22" s="75" t="s">
        <v>142</v>
      </c>
      <c r="H22" s="78" t="s">
        <v>158</v>
      </c>
      <c r="I22" s="75"/>
      <c r="J22" s="75"/>
    </row>
    <row r="23" spans="2:10" ht="15" customHeight="1" x14ac:dyDescent="0.4">
      <c r="B23" s="75" t="s">
        <v>5</v>
      </c>
      <c r="C23" s="75" t="s">
        <v>146</v>
      </c>
      <c r="D23" s="90">
        <v>0</v>
      </c>
      <c r="E23" s="77" t="s">
        <v>187</v>
      </c>
      <c r="F23" s="75" t="s">
        <v>142</v>
      </c>
      <c r="H23" s="78"/>
      <c r="I23" s="75"/>
      <c r="J23" s="75"/>
    </row>
    <row r="24" spans="2:10" ht="15" customHeight="1" x14ac:dyDescent="0.4">
      <c r="B24" s="75" t="s">
        <v>6</v>
      </c>
      <c r="C24" s="75" t="s">
        <v>146</v>
      </c>
      <c r="D24" s="82">
        <v>15</v>
      </c>
      <c r="E24" s="77" t="s">
        <v>155</v>
      </c>
      <c r="F24" s="75" t="s">
        <v>142</v>
      </c>
      <c r="H24" s="78"/>
      <c r="I24" s="75"/>
      <c r="J24" s="75"/>
    </row>
    <row r="26" spans="2:10" ht="15" customHeight="1" x14ac:dyDescent="0.4">
      <c r="B26" s="75" t="s">
        <v>144</v>
      </c>
      <c r="C26" s="75" t="s">
        <v>146</v>
      </c>
      <c r="D26" s="81">
        <v>1000000</v>
      </c>
      <c r="E26" s="77" t="s">
        <v>145</v>
      </c>
      <c r="F26" s="75" t="s">
        <v>142</v>
      </c>
      <c r="H26" s="78"/>
      <c r="I26" s="75"/>
      <c r="J26" s="75"/>
    </row>
    <row r="27" spans="2:10" ht="15" customHeight="1" x14ac:dyDescent="0.4">
      <c r="B27" s="75" t="s">
        <v>1</v>
      </c>
      <c r="C27" s="75" t="s">
        <v>146</v>
      </c>
      <c r="D27" s="82">
        <v>2.11</v>
      </c>
      <c r="E27" s="77" t="s">
        <v>202</v>
      </c>
      <c r="F27" s="75"/>
      <c r="H27" s="78"/>
      <c r="I27" s="75"/>
      <c r="J27" s="75"/>
    </row>
    <row r="28" spans="2:10" ht="15" customHeight="1" x14ac:dyDescent="0.4">
      <c r="B28" s="75" t="s">
        <v>151</v>
      </c>
      <c r="C28" s="75" t="s">
        <v>146</v>
      </c>
      <c r="D28" s="82">
        <v>12</v>
      </c>
      <c r="E28" s="77" t="s">
        <v>152</v>
      </c>
      <c r="F28" s="75" t="s">
        <v>142</v>
      </c>
      <c r="H28" s="78" t="s">
        <v>153</v>
      </c>
      <c r="I28" s="75"/>
      <c r="J28" s="75"/>
    </row>
    <row r="30" spans="2:10" ht="15" customHeight="1" x14ac:dyDescent="0.4">
      <c r="B30" s="84" t="s">
        <v>26</v>
      </c>
      <c r="C30" s="77" t="s">
        <v>146</v>
      </c>
      <c r="D30" s="82">
        <v>3200</v>
      </c>
      <c r="E30" s="77" t="s">
        <v>166</v>
      </c>
      <c r="F30" s="75" t="s">
        <v>167</v>
      </c>
      <c r="H30" s="78" t="s">
        <v>168</v>
      </c>
      <c r="I30" s="75"/>
      <c r="J30" s="75"/>
    </row>
    <row r="31" spans="2:10" ht="15" customHeight="1" x14ac:dyDescent="0.4">
      <c r="B31" s="75" t="s">
        <v>8</v>
      </c>
      <c r="C31" s="77" t="s">
        <v>146</v>
      </c>
      <c r="D31" s="82">
        <v>7500</v>
      </c>
      <c r="E31" s="77" t="s">
        <v>166</v>
      </c>
      <c r="F31" s="75" t="s">
        <v>167</v>
      </c>
      <c r="H31" s="78" t="s">
        <v>169</v>
      </c>
      <c r="I31" s="75"/>
      <c r="J31" s="75"/>
    </row>
    <row r="32" spans="2:10" ht="15" customHeight="1" x14ac:dyDescent="0.4">
      <c r="B32" s="75" t="s">
        <v>170</v>
      </c>
      <c r="C32" s="77" t="s">
        <v>146</v>
      </c>
      <c r="D32" s="82">
        <v>9500</v>
      </c>
      <c r="E32" s="77" t="s">
        <v>166</v>
      </c>
      <c r="F32" s="75" t="s">
        <v>167</v>
      </c>
      <c r="H32" s="78" t="s">
        <v>170</v>
      </c>
      <c r="I32" s="75"/>
      <c r="J32" s="75"/>
    </row>
    <row r="33" spans="2:10" ht="15" customHeight="1" x14ac:dyDescent="0.4">
      <c r="B33" s="75" t="s">
        <v>9</v>
      </c>
      <c r="C33" s="77" t="s">
        <v>146</v>
      </c>
      <c r="D33" s="82">
        <v>6000</v>
      </c>
      <c r="E33" s="77" t="s">
        <v>166</v>
      </c>
      <c r="F33" s="75" t="s">
        <v>167</v>
      </c>
      <c r="H33" s="78" t="s">
        <v>9</v>
      </c>
      <c r="I33" s="75"/>
      <c r="J33" s="75"/>
    </row>
    <row r="34" spans="2:10" ht="15" customHeight="1" x14ac:dyDescent="0.4">
      <c r="B34" s="75" t="s">
        <v>171</v>
      </c>
      <c r="C34" s="77" t="s">
        <v>146</v>
      </c>
      <c r="D34" s="82">
        <v>5000</v>
      </c>
      <c r="E34" s="77" t="s">
        <v>166</v>
      </c>
      <c r="F34" s="75" t="s">
        <v>167</v>
      </c>
      <c r="H34" s="78" t="s">
        <v>172</v>
      </c>
      <c r="I34" s="75"/>
      <c r="J34" s="75"/>
    </row>
    <row r="35" spans="2:10" ht="15" customHeight="1" x14ac:dyDescent="0.4">
      <c r="B35" s="75" t="s">
        <v>25</v>
      </c>
      <c r="C35" s="77" t="s">
        <v>146</v>
      </c>
      <c r="D35" s="82">
        <v>3000</v>
      </c>
      <c r="E35" s="77" t="s">
        <v>166</v>
      </c>
      <c r="F35" s="75" t="s">
        <v>167</v>
      </c>
      <c r="H35" s="78" t="s">
        <v>173</v>
      </c>
      <c r="I35" s="75"/>
      <c r="J35" s="75"/>
    </row>
    <row r="36" spans="2:10" ht="15" customHeight="1" x14ac:dyDescent="0.4">
      <c r="B36" s="75" t="s">
        <v>186</v>
      </c>
      <c r="C36" s="75" t="s">
        <v>146</v>
      </c>
      <c r="D36" s="86">
        <v>0.02</v>
      </c>
      <c r="E36" s="77" t="s">
        <v>187</v>
      </c>
      <c r="F36" s="75" t="s">
        <v>142</v>
      </c>
      <c r="H36" s="78" t="s">
        <v>188</v>
      </c>
      <c r="I36" s="75"/>
      <c r="J36" s="75"/>
    </row>
    <row r="37" spans="2:10" ht="15" customHeight="1" x14ac:dyDescent="0.4">
      <c r="B37" s="75" t="s">
        <v>189</v>
      </c>
      <c r="C37" s="75" t="s">
        <v>146</v>
      </c>
      <c r="D37" s="86">
        <v>0.02</v>
      </c>
      <c r="E37" s="77" t="s">
        <v>187</v>
      </c>
      <c r="F37" s="75" t="s">
        <v>142</v>
      </c>
      <c r="H37" s="78" t="s">
        <v>190</v>
      </c>
      <c r="I37" s="75"/>
      <c r="J37" s="75"/>
    </row>
    <row r="39" spans="2:10" ht="15" customHeight="1" x14ac:dyDescent="0.4">
      <c r="B39" s="75" t="s">
        <v>100</v>
      </c>
      <c r="C39" s="75" t="s">
        <v>141</v>
      </c>
      <c r="D39" s="85" t="s">
        <v>175</v>
      </c>
      <c r="E39" s="77" t="s">
        <v>174</v>
      </c>
      <c r="F39" s="75" t="s">
        <v>142</v>
      </c>
      <c r="H39" s="78" t="s">
        <v>176</v>
      </c>
      <c r="I39" s="75"/>
      <c r="J39" s="75"/>
    </row>
    <row r="41" spans="2:10" ht="15" customHeight="1" x14ac:dyDescent="0.4">
      <c r="B41" s="75" t="s">
        <v>54</v>
      </c>
      <c r="C41" s="75" t="s">
        <v>146</v>
      </c>
      <c r="D41" s="90">
        <v>0.21</v>
      </c>
      <c r="E41" s="77" t="s">
        <v>187</v>
      </c>
      <c r="F41" s="75" t="s">
        <v>142</v>
      </c>
      <c r="H41" s="78"/>
      <c r="I41" s="75"/>
      <c r="J41" s="75"/>
    </row>
    <row r="42" spans="2:10" ht="15" customHeight="1" x14ac:dyDescent="0.4">
      <c r="B42" s="75" t="s">
        <v>2</v>
      </c>
      <c r="C42" s="75" t="s">
        <v>146</v>
      </c>
      <c r="D42" s="90">
        <v>0.3</v>
      </c>
      <c r="E42" s="77" t="s">
        <v>187</v>
      </c>
      <c r="F42" s="75" t="s">
        <v>142</v>
      </c>
      <c r="H42" s="78"/>
      <c r="I42" s="75"/>
      <c r="J42" s="75"/>
    </row>
    <row r="43" spans="2:10" ht="15" customHeight="1" x14ac:dyDescent="0.4">
      <c r="B43" s="75" t="s">
        <v>81</v>
      </c>
      <c r="C43" s="75" t="s">
        <v>146</v>
      </c>
      <c r="D43" s="82">
        <v>1.1000000000000001</v>
      </c>
      <c r="E43" s="77" t="s">
        <v>178</v>
      </c>
      <c r="F43" s="75" t="s">
        <v>142</v>
      </c>
      <c r="H43" s="78"/>
      <c r="I43" s="75"/>
      <c r="J43" s="75"/>
    </row>
    <row r="45" spans="2:10" ht="15" customHeight="1" x14ac:dyDescent="0.4">
      <c r="B45" s="75" t="s">
        <v>177</v>
      </c>
      <c r="C45" s="75" t="s">
        <v>146</v>
      </c>
      <c r="D45" s="82">
        <v>1.5</v>
      </c>
      <c r="E45" s="77" t="s">
        <v>178</v>
      </c>
      <c r="F45" s="75" t="s">
        <v>142</v>
      </c>
      <c r="H45" s="78" t="s">
        <v>179</v>
      </c>
      <c r="I45" s="75"/>
      <c r="J45" s="75"/>
    </row>
    <row r="46" spans="2:10" ht="15" customHeight="1" x14ac:dyDescent="0.4">
      <c r="B46" s="75" t="s">
        <v>180</v>
      </c>
      <c r="C46" s="75" t="s">
        <v>146</v>
      </c>
      <c r="D46" s="82">
        <v>1</v>
      </c>
      <c r="E46" s="77" t="s">
        <v>178</v>
      </c>
      <c r="F46" s="75" t="s">
        <v>142</v>
      </c>
      <c r="H46" s="78" t="s">
        <v>181</v>
      </c>
      <c r="I46" s="75"/>
      <c r="J46" s="75"/>
    </row>
    <row r="47" spans="2:10" ht="15" customHeight="1" x14ac:dyDescent="0.4">
      <c r="B47" s="75" t="s">
        <v>21</v>
      </c>
      <c r="C47" s="75" t="s">
        <v>146</v>
      </c>
      <c r="D47" s="82">
        <v>15</v>
      </c>
      <c r="E47" s="77" t="s">
        <v>178</v>
      </c>
      <c r="F47" s="75" t="s">
        <v>142</v>
      </c>
      <c r="H47" s="78" t="s">
        <v>110</v>
      </c>
      <c r="I47" s="75"/>
      <c r="J47" s="75"/>
    </row>
    <row r="48" spans="2:10" x14ac:dyDescent="0.4">
      <c r="B48" s="75" t="s">
        <v>22</v>
      </c>
      <c r="C48" s="75" t="s">
        <v>146</v>
      </c>
      <c r="D48" s="75">
        <v>0.05</v>
      </c>
      <c r="E48" s="87" t="s">
        <v>187</v>
      </c>
      <c r="F48" s="87" t="s">
        <v>142</v>
      </c>
      <c r="H48" s="87"/>
      <c r="I48" s="87"/>
      <c r="J48" s="87"/>
    </row>
    <row r="50" spans="1:10" ht="15" customHeight="1" x14ac:dyDescent="0.4">
      <c r="B50" s="75" t="s">
        <v>182</v>
      </c>
      <c r="C50" s="75" t="s">
        <v>146</v>
      </c>
      <c r="D50" s="82">
        <v>0.9</v>
      </c>
      <c r="E50" s="77" t="s">
        <v>183</v>
      </c>
      <c r="F50" s="75" t="s">
        <v>184</v>
      </c>
      <c r="H50" s="78" t="s">
        <v>185</v>
      </c>
      <c r="I50" s="75"/>
      <c r="J50" s="75"/>
    </row>
    <row r="55" spans="1:10" ht="12.6" x14ac:dyDescent="0.45">
      <c r="A55" s="60" t="s">
        <v>191</v>
      </c>
      <c r="B55" s="89" t="s">
        <v>192</v>
      </c>
    </row>
    <row r="56" spans="1:10" ht="12.6" x14ac:dyDescent="0.45">
      <c r="A56" s="60" t="s">
        <v>193</v>
      </c>
      <c r="B56" s="89" t="s">
        <v>194</v>
      </c>
    </row>
    <row r="57" spans="1:10" ht="12.6" x14ac:dyDescent="0.45">
      <c r="A57" s="60" t="s">
        <v>195</v>
      </c>
      <c r="B57" s="89" t="s">
        <v>196</v>
      </c>
    </row>
  </sheetData>
  <dataValidations count="1">
    <dataValidation type="list" allowBlank="1" showInputMessage="1" showErrorMessage="1" sqref="D39" xr:uid="{BA54C7BD-5F46-4C0E-BDCD-FAA028EF98AF}">
      <formula1>"Bonus depreciation, MACRs"</formula1>
    </dataValidation>
  </dataValidations>
  <pageMargins left="0.7" right="0.7" top="0.75" bottom="0.75" header="0.3" footer="0.3"/>
  <pageSetup scale="26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3E40-B364-4F7A-95CA-05A21B957289}">
  <sheetPr>
    <tabColor rgb="FFFFC000"/>
  </sheetPr>
  <dimension ref="A1"/>
  <sheetViews>
    <sheetView showGridLines="0" zoomScale="84" workbookViewId="0">
      <selection activeCell="O17" sqref="O17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5053-211F-45D4-9768-FBD5B599CF0B}">
  <sheetPr>
    <tabColor rgb="FFFFC000"/>
    <pageSetUpPr fitToPage="1"/>
  </sheetPr>
  <dimension ref="A2:AC71"/>
  <sheetViews>
    <sheetView showGridLines="0" tabSelected="1" zoomScale="47" zoomScaleNormal="85" workbookViewId="0">
      <selection activeCell="U16" sqref="U16"/>
    </sheetView>
  </sheetViews>
  <sheetFormatPr defaultColWidth="9.15625" defaultRowHeight="14.4" x14ac:dyDescent="0.55000000000000004"/>
  <cols>
    <col min="1" max="1" width="1.41796875" style="1" customWidth="1"/>
    <col min="2" max="2" width="6.83984375" style="1" customWidth="1"/>
    <col min="3" max="3" width="25.83984375" style="1" customWidth="1"/>
    <col min="4" max="4" width="11.26171875" style="1" customWidth="1"/>
    <col min="5" max="6" width="10.15625" style="1" customWidth="1"/>
    <col min="7" max="7" width="13.41796875" style="1" customWidth="1"/>
    <col min="8" max="8" width="2.578125" style="1" customWidth="1"/>
    <col min="9" max="9" width="2.83984375" style="1" customWidth="1"/>
    <col min="10" max="10" width="30.41796875" style="1" customWidth="1"/>
    <col min="11" max="11" width="15.83984375" style="1" customWidth="1"/>
    <col min="12" max="12" width="12.15625" style="1" customWidth="1"/>
    <col min="13" max="13" width="1.83984375" style="1" customWidth="1"/>
    <col min="14" max="14" width="2.578125" style="1" customWidth="1"/>
    <col min="15" max="15" width="4.578125" style="1" customWidth="1"/>
    <col min="16" max="16" width="21" style="1" customWidth="1"/>
    <col min="17" max="17" width="14" customWidth="1"/>
    <col min="18" max="18" width="11.578125" bestFit="1" customWidth="1"/>
    <col min="20" max="20" width="21.15625" style="1" customWidth="1"/>
    <col min="21" max="21" width="29.15625" style="1" customWidth="1"/>
    <col min="22" max="22" width="27.41796875" style="1" customWidth="1"/>
    <col min="23" max="23" width="24.41796875" style="1" customWidth="1"/>
    <col min="24" max="25" width="9.15625" style="1"/>
    <col min="26" max="26" width="23.41796875" style="1" customWidth="1"/>
    <col min="27" max="27" width="20" style="1" customWidth="1"/>
    <col min="28" max="28" width="9.15625" style="1"/>
    <col min="29" max="29" width="9.15625" style="1" hidden="1" customWidth="1"/>
    <col min="30" max="30" width="0.68359375" style="1" customWidth="1"/>
    <col min="31" max="31" width="9.15625" style="1" customWidth="1"/>
    <col min="32" max="16384" width="9.15625" style="1"/>
  </cols>
  <sheetData>
    <row r="2" spans="1:25" ht="22.5" x14ac:dyDescent="0.75">
      <c r="A2" s="97" t="s">
        <v>207</v>
      </c>
      <c r="D2" s="97"/>
      <c r="J2" s="8"/>
      <c r="K2" s="8"/>
    </row>
    <row r="4" spans="1:25" x14ac:dyDescent="0.55000000000000004">
      <c r="J4" s="8"/>
      <c r="K4" s="8"/>
    </row>
    <row r="5" spans="1:25" ht="12.3" x14ac:dyDescent="0.4">
      <c r="B5" s="106" t="s">
        <v>229</v>
      </c>
      <c r="C5" s="106"/>
      <c r="D5" s="106"/>
      <c r="E5" s="106"/>
      <c r="F5" s="106"/>
      <c r="G5" s="106"/>
      <c r="I5" s="106" t="s">
        <v>217</v>
      </c>
      <c r="J5" s="106"/>
      <c r="K5" s="106"/>
      <c r="L5" s="106"/>
      <c r="M5" s="106"/>
      <c r="O5" s="106" t="s">
        <v>212</v>
      </c>
      <c r="P5" s="106"/>
      <c r="Q5" s="106" t="s">
        <v>40</v>
      </c>
      <c r="R5" s="106" t="s">
        <v>116</v>
      </c>
      <c r="S5" s="106" t="s">
        <v>206</v>
      </c>
      <c r="T5" s="122" t="s">
        <v>140</v>
      </c>
      <c r="U5" s="106"/>
      <c r="V5" s="106"/>
      <c r="W5" s="122" t="s">
        <v>223</v>
      </c>
    </row>
    <row r="6" spans="1:25" ht="11.4" x14ac:dyDescent="0.4">
      <c r="Q6" s="1"/>
      <c r="R6" s="1"/>
      <c r="S6" s="1"/>
    </row>
    <row r="7" spans="1:25" ht="11.4" x14ac:dyDescent="0.4">
      <c r="B7" s="1" t="s">
        <v>0</v>
      </c>
      <c r="F7" s="1" t="s">
        <v>218</v>
      </c>
      <c r="J7" s="1" t="s">
        <v>224</v>
      </c>
      <c r="L7" s="123" t="s">
        <v>43</v>
      </c>
      <c r="P7" s="1" t="s">
        <v>36</v>
      </c>
      <c r="Q7" s="95">
        <f>YEAR(T7)</f>
        <v>2022</v>
      </c>
      <c r="R7" s="95">
        <f>ROUNDUP(MONTH(T7)/3,0)</f>
        <v>1</v>
      </c>
      <c r="S7" s="95">
        <f>MONTH(T7)</f>
        <v>1</v>
      </c>
      <c r="T7" s="96">
        <f>Construction_Start_Date</f>
        <v>44562</v>
      </c>
      <c r="U7" s="91"/>
      <c r="V7" s="91"/>
      <c r="W7" s="91"/>
    </row>
    <row r="8" spans="1:25" ht="11.4" x14ac:dyDescent="0.4">
      <c r="B8" s="109" t="s">
        <v>0</v>
      </c>
      <c r="F8" s="1" t="s">
        <v>219</v>
      </c>
      <c r="P8" s="1" t="s">
        <v>37</v>
      </c>
      <c r="Q8" s="95">
        <f>YEAR(T8)</f>
        <v>2022</v>
      </c>
      <c r="R8" s="95">
        <f>ROUNDUP(MONTH(T8)/3,0)</f>
        <v>4</v>
      </c>
      <c r="S8" s="95">
        <f t="shared" ref="S8:S11" si="0">MONTH(T8)</f>
        <v>12</v>
      </c>
      <c r="T8" s="96">
        <f>DATE(Q7,S7+U10,1)-U8</f>
        <v>44913</v>
      </c>
      <c r="U8" s="105">
        <v>14</v>
      </c>
      <c r="V8" s="54" t="s">
        <v>204</v>
      </c>
      <c r="W8" s="54"/>
    </row>
    <row r="9" spans="1:25" ht="11.4" x14ac:dyDescent="0.4">
      <c r="B9" s="110" t="s">
        <v>0</v>
      </c>
      <c r="C9" s="108"/>
      <c r="F9" s="1" t="s">
        <v>220</v>
      </c>
      <c r="P9" s="1" t="s">
        <v>117</v>
      </c>
      <c r="Q9" s="95">
        <f>YEAR(T9)</f>
        <v>2023</v>
      </c>
      <c r="R9" s="95">
        <f>ROUNDUP(MONTH(T9)/3,0)</f>
        <v>1</v>
      </c>
      <c r="S9" s="95">
        <f t="shared" si="0"/>
        <v>1</v>
      </c>
      <c r="T9" s="96">
        <f>T8+U9</f>
        <v>44927</v>
      </c>
      <c r="U9" s="105">
        <v>14</v>
      </c>
      <c r="V9" s="54" t="s">
        <v>204</v>
      </c>
      <c r="W9" s="54"/>
    </row>
    <row r="10" spans="1:25" ht="11.4" x14ac:dyDescent="0.4">
      <c r="B10" s="126" t="s">
        <v>228</v>
      </c>
      <c r="F10" s="1" t="s">
        <v>227</v>
      </c>
      <c r="P10" s="1" t="s">
        <v>38</v>
      </c>
      <c r="Q10" s="95">
        <f>YEAR(T10)</f>
        <v>2023</v>
      </c>
      <c r="R10" s="95">
        <f>ROUNDUP(MONTH(T10)/3,0)</f>
        <v>1</v>
      </c>
      <c r="S10" s="95">
        <f t="shared" si="0"/>
        <v>1</v>
      </c>
      <c r="T10" s="96">
        <f>DATE(Q7,S7+U10,1)</f>
        <v>44927</v>
      </c>
      <c r="U10" s="105">
        <f>Construction_Time</f>
        <v>12</v>
      </c>
      <c r="V10" s="54" t="s">
        <v>203</v>
      </c>
      <c r="W10" s="54"/>
    </row>
    <row r="11" spans="1:25" ht="11.4" x14ac:dyDescent="0.4">
      <c r="B11" s="127" t="s">
        <v>228</v>
      </c>
      <c r="F11" s="1" t="s">
        <v>230</v>
      </c>
      <c r="P11" s="1" t="s">
        <v>39</v>
      </c>
      <c r="Q11" s="95">
        <f>YEAR(T11)</f>
        <v>2023</v>
      </c>
      <c r="R11" s="95">
        <f>ROUNDUP(MONTH(T11)/3,0)</f>
        <v>1</v>
      </c>
      <c r="S11" s="95">
        <f t="shared" si="0"/>
        <v>1</v>
      </c>
      <c r="T11" s="96">
        <f>T10+U11</f>
        <v>44941</v>
      </c>
      <c r="U11" s="105">
        <v>14</v>
      </c>
      <c r="V11" s="54" t="s">
        <v>205</v>
      </c>
      <c r="W11" s="54"/>
    </row>
    <row r="12" spans="1:25" x14ac:dyDescent="0.55000000000000004">
      <c r="X12" s="95"/>
      <c r="Y12" s="96"/>
    </row>
    <row r="13" spans="1:25" ht="13" customHeight="1" x14ac:dyDescent="0.4">
      <c r="B13" s="106" t="s">
        <v>200</v>
      </c>
      <c r="C13" s="106"/>
      <c r="D13" s="106"/>
      <c r="E13" s="106"/>
      <c r="F13" s="106"/>
      <c r="G13" s="106"/>
      <c r="I13" s="106" t="s">
        <v>211</v>
      </c>
      <c r="J13" s="106"/>
      <c r="K13" s="106"/>
      <c r="L13" s="106"/>
      <c r="M13" s="106"/>
      <c r="O13" s="106" t="s">
        <v>222</v>
      </c>
      <c r="P13" s="106"/>
      <c r="Q13" s="106" t="str">
        <f>Q5</f>
        <v>Year</v>
      </c>
      <c r="R13" s="106" t="str">
        <f t="shared" ref="R13:T13" si="1">R5</f>
        <v>Quarter</v>
      </c>
      <c r="S13" s="106" t="str">
        <f t="shared" si="1"/>
        <v>Month</v>
      </c>
      <c r="T13" s="106" t="str">
        <f t="shared" si="1"/>
        <v>Date</v>
      </c>
      <c r="U13" s="122" t="s">
        <v>86</v>
      </c>
      <c r="V13" s="122" t="s">
        <v>214</v>
      </c>
      <c r="W13" s="122" t="str">
        <f>W5</f>
        <v>Description</v>
      </c>
    </row>
    <row r="14" spans="1:25" ht="13" customHeight="1" x14ac:dyDescent="0.55000000000000004"/>
    <row r="15" spans="1:25" ht="11.4" x14ac:dyDescent="0.4">
      <c r="B15" s="93" t="s">
        <v>216</v>
      </c>
      <c r="C15" s="93"/>
      <c r="G15" s="124" t="s">
        <v>225</v>
      </c>
      <c r="J15" s="1" t="s">
        <v>1</v>
      </c>
      <c r="K15" s="1" t="s">
        <v>221</v>
      </c>
      <c r="L15" s="110">
        <f>All_in_Development_Cost</f>
        <v>2.11</v>
      </c>
      <c r="M15" s="110"/>
      <c r="P15" s="1" t="str">
        <f>P7</f>
        <v>Start Date</v>
      </c>
      <c r="Q15" s="1">
        <f t="shared" ref="Q15:S15" si="2">Q7</f>
        <v>2022</v>
      </c>
      <c r="R15" s="1">
        <f t="shared" si="2"/>
        <v>1</v>
      </c>
      <c r="S15" s="1">
        <f t="shared" si="2"/>
        <v>1</v>
      </c>
      <c r="T15" s="8">
        <f>T7</f>
        <v>44562</v>
      </c>
      <c r="U15" s="55">
        <v>0.01</v>
      </c>
      <c r="V15" s="55">
        <v>1</v>
      </c>
      <c r="W15" s="54"/>
    </row>
    <row r="16" spans="1:25" ht="11.4" x14ac:dyDescent="0.4">
      <c r="B16" s="93" t="s">
        <v>215</v>
      </c>
      <c r="C16" s="93"/>
      <c r="G16" s="105" t="s">
        <v>226</v>
      </c>
      <c r="J16" s="1" t="s">
        <v>32</v>
      </c>
      <c r="L16" s="107">
        <f>+G19*L15*1000000</f>
        <v>5739200</v>
      </c>
      <c r="M16" s="110"/>
      <c r="P16" s="1" t="str">
        <f t="shared" ref="P16:S16" si="3">P8</f>
        <v>Mechanical Completion Date</v>
      </c>
      <c r="Q16" s="1">
        <f t="shared" si="3"/>
        <v>2022</v>
      </c>
      <c r="R16" s="1">
        <f t="shared" si="3"/>
        <v>4</v>
      </c>
      <c r="S16" s="1">
        <f t="shared" si="3"/>
        <v>12</v>
      </c>
      <c r="T16" s="8">
        <f>T8</f>
        <v>44913</v>
      </c>
      <c r="U16" s="55">
        <v>0.19</v>
      </c>
      <c r="V16" s="55"/>
      <c r="W16" s="54"/>
    </row>
    <row r="17" spans="2:23" ht="11.4" x14ac:dyDescent="0.4">
      <c r="B17" s="93" t="s">
        <v>115</v>
      </c>
      <c r="C17" s="93"/>
      <c r="J17" s="1" t="s">
        <v>2</v>
      </c>
      <c r="L17" s="111">
        <f>ITC_Percentage</f>
        <v>0.3</v>
      </c>
      <c r="M17" s="110"/>
      <c r="P17" s="1" t="str">
        <f t="shared" ref="P17:S17" si="4">P9</f>
        <v>Placement in Service Date</v>
      </c>
      <c r="Q17" s="1">
        <f t="shared" si="4"/>
        <v>2023</v>
      </c>
      <c r="R17" s="1">
        <f t="shared" si="4"/>
        <v>1</v>
      </c>
      <c r="S17" s="1">
        <f t="shared" si="4"/>
        <v>1</v>
      </c>
      <c r="T17" s="8">
        <f>T9</f>
        <v>44927</v>
      </c>
      <c r="U17" s="55"/>
      <c r="V17" s="55"/>
      <c r="W17" s="54"/>
    </row>
    <row r="18" spans="2:23" ht="11.4" x14ac:dyDescent="0.4">
      <c r="B18" s="93" t="s">
        <v>11</v>
      </c>
      <c r="C18" s="93"/>
      <c r="F18" s="1" t="s">
        <v>13</v>
      </c>
      <c r="G18" s="110">
        <f>Project_Size_AC</f>
        <v>2</v>
      </c>
      <c r="J18" s="1" t="s">
        <v>34</v>
      </c>
      <c r="L18" s="99">
        <v>0.9</v>
      </c>
      <c r="M18" s="110"/>
      <c r="P18" s="1" t="str">
        <f t="shared" ref="P18:S18" si="5">P10</f>
        <v>Substantial Completion Date</v>
      </c>
      <c r="Q18" s="1">
        <f t="shared" si="5"/>
        <v>2023</v>
      </c>
      <c r="R18" s="1">
        <f t="shared" si="5"/>
        <v>1</v>
      </c>
      <c r="S18" s="1">
        <f t="shared" si="5"/>
        <v>1</v>
      </c>
      <c r="T18" s="8">
        <f>T10</f>
        <v>44927</v>
      </c>
      <c r="U18" s="55">
        <v>0.8</v>
      </c>
      <c r="V18" s="55"/>
      <c r="W18" s="54"/>
    </row>
    <row r="19" spans="2:23" ht="11.4" x14ac:dyDescent="0.4">
      <c r="B19" s="93" t="s">
        <v>10</v>
      </c>
      <c r="C19" s="93"/>
      <c r="F19" s="1" t="s">
        <v>12</v>
      </c>
      <c r="G19" s="110">
        <f>Project_Size_DC</f>
        <v>2.72</v>
      </c>
      <c r="M19" s="110"/>
      <c r="P19" s="1" t="str">
        <f t="shared" ref="P19:S19" si="6">P11</f>
        <v>Final Completion Date</v>
      </c>
      <c r="Q19" s="1">
        <f t="shared" si="6"/>
        <v>2023</v>
      </c>
      <c r="R19" s="1">
        <f t="shared" si="6"/>
        <v>1</v>
      </c>
      <c r="S19" s="1">
        <f t="shared" si="6"/>
        <v>1</v>
      </c>
      <c r="T19" s="8">
        <f>T11</f>
        <v>44941</v>
      </c>
      <c r="U19" s="55"/>
      <c r="V19" s="55"/>
      <c r="W19" s="54"/>
    </row>
    <row r="20" spans="2:23" x14ac:dyDescent="0.55000000000000004">
      <c r="B20" s="92"/>
      <c r="C20" s="92"/>
      <c r="U20" s="55"/>
      <c r="V20" s="55"/>
      <c r="W20" s="54"/>
    </row>
    <row r="21" spans="2:23" ht="12.3" x14ac:dyDescent="0.4">
      <c r="B21" s="106" t="s">
        <v>111</v>
      </c>
      <c r="C21" s="106"/>
      <c r="D21" s="106"/>
      <c r="E21" s="106"/>
      <c r="F21" s="106"/>
      <c r="G21" s="106"/>
      <c r="I21" s="106" t="s">
        <v>100</v>
      </c>
      <c r="J21" s="106"/>
      <c r="K21" s="106"/>
      <c r="L21" s="106"/>
      <c r="M21" s="106"/>
      <c r="O21" s="1" t="str">
        <f>'Capital Contribution Schedule'!B13</f>
        <v>Contribution Schedule</v>
      </c>
      <c r="Q21" s="1"/>
      <c r="R21" s="1"/>
      <c r="S21" s="1"/>
    </row>
    <row r="22" spans="2:23" ht="11.4" x14ac:dyDescent="0.4">
      <c r="P22" s="132" t="s">
        <v>40</v>
      </c>
      <c r="Q22" s="133" t="s">
        <v>231</v>
      </c>
      <c r="R22" s="133" t="s">
        <v>232</v>
      </c>
      <c r="S22" s="134" t="str">
        <f>'Capital Contribution Schedule'!E13</f>
        <v>Total</v>
      </c>
    </row>
    <row r="23" spans="2:23" ht="11.4" x14ac:dyDescent="0.4">
      <c r="B23" s="93" t="s">
        <v>3</v>
      </c>
      <c r="C23" s="93"/>
      <c r="E23" s="1" t="s">
        <v>198</v>
      </c>
      <c r="F23" s="110">
        <f>Yield</f>
        <v>1800</v>
      </c>
      <c r="J23" s="1" t="s">
        <v>50</v>
      </c>
      <c r="L23" s="100">
        <f>IF(L24="Yes",L16-(L38*0.5),L16-(L38*0))</f>
        <v>4964408</v>
      </c>
      <c r="M23" s="100"/>
      <c r="P23" s="31"/>
      <c r="Q23" s="1"/>
      <c r="R23" s="1"/>
      <c r="S23" s="128"/>
    </row>
    <row r="24" spans="2:23" ht="11.4" x14ac:dyDescent="0.4">
      <c r="B24" s="93" t="s">
        <v>92</v>
      </c>
      <c r="C24" s="93"/>
      <c r="E24" s="1" t="s">
        <v>15</v>
      </c>
      <c r="F24" s="9">
        <f>+F23*G19*1000</f>
        <v>4896000</v>
      </c>
      <c r="G24" s="11"/>
      <c r="H24" s="11"/>
      <c r="J24" s="1" t="s">
        <v>66</v>
      </c>
      <c r="L24" s="125" t="str">
        <f>IF(Depreciation="Bonus depreciation","Yes","No")</f>
        <v>Yes</v>
      </c>
      <c r="M24" s="46"/>
      <c r="N24" s="11"/>
      <c r="P24" s="31">
        <f>'Capital Contribution Schedule'!B15</f>
        <v>2022</v>
      </c>
      <c r="Q24" s="5">
        <f>'Capital Contribution Schedule'!C15</f>
        <v>340908.48000000004</v>
      </c>
      <c r="R24" s="5">
        <f>'Capital Contribution Schedule'!D15</f>
        <v>2429093.6005217852</v>
      </c>
      <c r="S24" s="129">
        <f>'Capital Contribution Schedule'!E15</f>
        <v>2770002.0805217852</v>
      </c>
    </row>
    <row r="25" spans="2:23" ht="11.4" x14ac:dyDescent="0.4">
      <c r="B25" s="93" t="s">
        <v>20</v>
      </c>
      <c r="C25" s="93"/>
      <c r="F25" s="10">
        <v>0.86</v>
      </c>
      <c r="L25" s="46"/>
      <c r="M25" s="46"/>
      <c r="P25" s="31">
        <f>'Capital Contribution Schedule'!B16</f>
        <v>2023</v>
      </c>
      <c r="Q25" s="5">
        <f>'Capital Contribution Schedule'!C16</f>
        <v>1363633.9200000002</v>
      </c>
      <c r="R25" s="5">
        <f>'Capital Contribution Schedule'!D16</f>
        <v>0</v>
      </c>
      <c r="S25" s="129">
        <f>'Capital Contribution Schedule'!E16</f>
        <v>1363633.9200000002</v>
      </c>
    </row>
    <row r="26" spans="2:23" ht="11.4" x14ac:dyDescent="0.4">
      <c r="B26" s="93" t="s">
        <v>93</v>
      </c>
      <c r="C26" s="93"/>
      <c r="E26" s="1" t="s">
        <v>15</v>
      </c>
      <c r="F26" s="9">
        <f>+F24*F25</f>
        <v>4210560</v>
      </c>
      <c r="G26" s="11"/>
      <c r="H26" s="11"/>
      <c r="N26" s="11"/>
      <c r="P26" s="31">
        <f>'Capital Contribution Schedule'!B17</f>
        <v>2024</v>
      </c>
      <c r="Q26" s="5">
        <f>'Capital Contribution Schedule'!C17</f>
        <v>0</v>
      </c>
      <c r="R26" s="5">
        <f>'Capital Contribution Schedule'!D17</f>
        <v>0</v>
      </c>
      <c r="S26" s="129">
        <f>'Capital Contribution Schedule'!E17</f>
        <v>0</v>
      </c>
    </row>
    <row r="27" spans="2:23" ht="12.3" x14ac:dyDescent="0.4">
      <c r="B27" s="93" t="s">
        <v>44</v>
      </c>
      <c r="C27" s="93"/>
      <c r="F27" s="10">
        <v>1</v>
      </c>
      <c r="G27" s="11"/>
      <c r="H27" s="11"/>
      <c r="I27" s="117" t="s">
        <v>47</v>
      </c>
      <c r="J27" s="117"/>
      <c r="K27" s="117"/>
      <c r="L27" s="117"/>
      <c r="M27" s="117"/>
      <c r="N27" s="11"/>
      <c r="P27" s="31">
        <f>'Capital Contribution Schedule'!B18</f>
        <v>2025</v>
      </c>
      <c r="Q27" s="5">
        <f>'Capital Contribution Schedule'!C18</f>
        <v>0</v>
      </c>
      <c r="R27" s="5">
        <f>'Capital Contribution Schedule'!D18</f>
        <v>0</v>
      </c>
      <c r="S27" s="129">
        <f>'Capital Contribution Schedule'!E18</f>
        <v>0</v>
      </c>
    </row>
    <row r="28" spans="2:23" ht="11.4" x14ac:dyDescent="0.4">
      <c r="B28" s="93" t="s">
        <v>23</v>
      </c>
      <c r="C28" s="93"/>
      <c r="F28" s="112">
        <f>Annual_Degradation</f>
        <v>3.0000000000000001E-3</v>
      </c>
      <c r="J28" s="135" t="s">
        <v>40</v>
      </c>
      <c r="K28" s="136"/>
      <c r="L28" s="134" t="s">
        <v>46</v>
      </c>
      <c r="P28" s="31">
        <f>'Capital Contribution Schedule'!B19</f>
        <v>2026</v>
      </c>
      <c r="Q28" s="5">
        <f>'Capital Contribution Schedule'!C19</f>
        <v>0</v>
      </c>
      <c r="R28" s="5">
        <f>'Capital Contribution Schedule'!D19</f>
        <v>0</v>
      </c>
      <c r="S28" s="129">
        <f>'Capital Contribution Schedule'!E19</f>
        <v>0</v>
      </c>
    </row>
    <row r="29" spans="2:23" ht="11.4" x14ac:dyDescent="0.4">
      <c r="B29" s="93" t="s">
        <v>4</v>
      </c>
      <c r="C29" s="93"/>
      <c r="E29" s="1" t="s">
        <v>16</v>
      </c>
      <c r="F29" s="110">
        <f>PPA_Rate</f>
        <v>5.8000000000000003E-2</v>
      </c>
      <c r="J29" s="118">
        <v>1</v>
      </c>
      <c r="L29" s="119">
        <v>0.05</v>
      </c>
      <c r="P29" s="31">
        <f>'Capital Contribution Schedule'!B20</f>
        <v>2027</v>
      </c>
      <c r="Q29" s="5">
        <f>'Capital Contribution Schedule'!C20</f>
        <v>0</v>
      </c>
      <c r="R29" s="5">
        <f>'Capital Contribution Schedule'!D20</f>
        <v>0</v>
      </c>
      <c r="S29" s="129">
        <f>'Capital Contribution Schedule'!E20</f>
        <v>0</v>
      </c>
    </row>
    <row r="30" spans="2:23" ht="11.4" x14ac:dyDescent="0.4">
      <c r="B30" s="93" t="s">
        <v>5</v>
      </c>
      <c r="C30" s="93"/>
      <c r="F30" s="98">
        <v>0</v>
      </c>
      <c r="J30" s="118">
        <v>2</v>
      </c>
      <c r="L30" s="119">
        <v>0.38</v>
      </c>
      <c r="P30" s="31">
        <f>'Capital Contribution Schedule'!B21</f>
        <v>2028</v>
      </c>
      <c r="Q30" s="5">
        <f>'Capital Contribution Schedule'!C21</f>
        <v>0</v>
      </c>
      <c r="R30" s="5">
        <f>'Capital Contribution Schedule'!D21</f>
        <v>0</v>
      </c>
      <c r="S30" s="129">
        <f>'Capital Contribution Schedule'!E21</f>
        <v>0</v>
      </c>
    </row>
    <row r="31" spans="2:23" ht="11.4" x14ac:dyDescent="0.4">
      <c r="B31" s="93" t="s">
        <v>6</v>
      </c>
      <c r="C31" s="93"/>
      <c r="E31" s="1" t="s">
        <v>17</v>
      </c>
      <c r="F31" s="110">
        <f>PPA_Term</f>
        <v>15</v>
      </c>
      <c r="J31" s="118">
        <v>3</v>
      </c>
      <c r="L31" s="119">
        <v>0.22800000000000001</v>
      </c>
      <c r="P31" s="31">
        <f>'Capital Contribution Schedule'!B22</f>
        <v>2029</v>
      </c>
      <c r="Q31" s="5">
        <f>'Capital Contribution Schedule'!C22</f>
        <v>0</v>
      </c>
      <c r="R31" s="5">
        <f>'Capital Contribution Schedule'!D22</f>
        <v>0</v>
      </c>
      <c r="S31" s="129">
        <f>'Capital Contribution Schedule'!E22</f>
        <v>0</v>
      </c>
    </row>
    <row r="32" spans="2:23" ht="11.4" x14ac:dyDescent="0.4">
      <c r="J32" s="118">
        <v>4</v>
      </c>
      <c r="L32" s="119">
        <v>0.1368</v>
      </c>
      <c r="P32" s="31">
        <f>'Capital Contribution Schedule'!B23</f>
        <v>2030</v>
      </c>
      <c r="Q32" s="5">
        <f>'Capital Contribution Schedule'!C23</f>
        <v>0</v>
      </c>
      <c r="R32" s="5">
        <f>'Capital Contribution Schedule'!D23</f>
        <v>0</v>
      </c>
      <c r="S32" s="129">
        <f>'Capital Contribution Schedule'!E23</f>
        <v>0</v>
      </c>
    </row>
    <row r="33" spans="2:20" ht="11.4" x14ac:dyDescent="0.4">
      <c r="J33" s="118">
        <v>5</v>
      </c>
      <c r="L33" s="119">
        <v>0.1094</v>
      </c>
      <c r="P33" s="31">
        <f>'Capital Contribution Schedule'!B24</f>
        <v>2031</v>
      </c>
      <c r="Q33" s="5">
        <f>'Capital Contribution Schedule'!C24</f>
        <v>0</v>
      </c>
      <c r="R33" s="5">
        <f>'Capital Contribution Schedule'!D24</f>
        <v>0</v>
      </c>
      <c r="S33" s="129">
        <f>'Capital Contribution Schedule'!E24</f>
        <v>0</v>
      </c>
    </row>
    <row r="34" spans="2:20" ht="11.4" x14ac:dyDescent="0.4">
      <c r="J34" s="120">
        <v>6</v>
      </c>
      <c r="K34" s="33"/>
      <c r="L34" s="121">
        <v>9.5799999999999996E-2</v>
      </c>
      <c r="P34" s="32">
        <f>'Capital Contribution Schedule'!B25</f>
        <v>2032</v>
      </c>
      <c r="Q34" s="130">
        <f>'Capital Contribution Schedule'!C25</f>
        <v>0</v>
      </c>
      <c r="R34" s="130">
        <f>'Capital Contribution Schedule'!D25</f>
        <v>0</v>
      </c>
      <c r="S34" s="131">
        <f>'Capital Contribution Schedule'!E25</f>
        <v>0</v>
      </c>
    </row>
    <row r="35" spans="2:20" ht="11.4" x14ac:dyDescent="0.4">
      <c r="Q35" s="1"/>
      <c r="R35" s="1"/>
      <c r="S35" s="1"/>
    </row>
    <row r="36" spans="2:20" ht="11.4" x14ac:dyDescent="0.4">
      <c r="J36" s="47"/>
      <c r="Q36" s="1"/>
      <c r="R36" s="1"/>
      <c r="S36" s="1"/>
    </row>
    <row r="37" spans="2:20" ht="12.3" x14ac:dyDescent="0.4">
      <c r="B37" s="106" t="s">
        <v>31</v>
      </c>
      <c r="C37" s="106"/>
      <c r="D37" s="106"/>
      <c r="E37" s="106"/>
      <c r="F37" s="106" t="s">
        <v>29</v>
      </c>
      <c r="G37" s="106" t="s">
        <v>30</v>
      </c>
      <c r="I37" s="106" t="s">
        <v>210</v>
      </c>
      <c r="J37" s="106"/>
      <c r="K37" s="106"/>
      <c r="L37" s="106"/>
      <c r="M37" s="106"/>
      <c r="O37" s="106" t="s">
        <v>213</v>
      </c>
      <c r="P37" s="106"/>
      <c r="Q37" s="106"/>
      <c r="R37" s="106"/>
      <c r="S37" s="106"/>
      <c r="T37" s="106"/>
    </row>
    <row r="38" spans="2:20" ht="11.4" x14ac:dyDescent="0.4">
      <c r="I38" s="93" t="s">
        <v>208</v>
      </c>
      <c r="J38" s="93"/>
      <c r="K38" s="93"/>
      <c r="L38" s="100">
        <f>+G19*L15*L17*L18*1000000</f>
        <v>1549584</v>
      </c>
      <c r="M38" s="100"/>
      <c r="O38" s="93" t="s">
        <v>22</v>
      </c>
      <c r="P38" s="93"/>
      <c r="Q38" s="113">
        <f>Interest_Rate</f>
        <v>0.05</v>
      </c>
      <c r="R38" s="1" t="s">
        <v>33</v>
      </c>
      <c r="S38" s="1"/>
    </row>
    <row r="39" spans="2:20" ht="11.4" x14ac:dyDescent="0.4">
      <c r="B39" s="93" t="s">
        <v>26</v>
      </c>
      <c r="C39" s="93"/>
      <c r="D39" s="110">
        <f>Insurance</f>
        <v>3200</v>
      </c>
      <c r="E39" s="1" t="s">
        <v>35</v>
      </c>
      <c r="F39" s="54" t="s">
        <v>28</v>
      </c>
      <c r="G39" s="99">
        <v>0</v>
      </c>
      <c r="I39" s="93" t="s">
        <v>81</v>
      </c>
      <c r="J39" s="93"/>
      <c r="K39" s="93"/>
      <c r="L39" s="12">
        <v>1.1000000000000001</v>
      </c>
      <c r="M39" s="12"/>
      <c r="O39" s="93" t="s">
        <v>18</v>
      </c>
      <c r="P39" s="93"/>
      <c r="Q39" s="114">
        <f>Debt_Coverage_P50</f>
        <v>1.5</v>
      </c>
      <c r="R39" s="1"/>
      <c r="S39" s="1"/>
    </row>
    <row r="40" spans="2:20" ht="11.4" x14ac:dyDescent="0.4">
      <c r="B40" s="93" t="s">
        <v>8</v>
      </c>
      <c r="C40" s="93"/>
      <c r="D40" s="110">
        <f>O_M</f>
        <v>7500</v>
      </c>
      <c r="E40" s="1" t="s">
        <v>35</v>
      </c>
      <c r="F40" s="54" t="s">
        <v>27</v>
      </c>
      <c r="G40" s="99">
        <v>0.02</v>
      </c>
      <c r="I40" s="93" t="s">
        <v>87</v>
      </c>
      <c r="J40" s="93"/>
      <c r="K40" s="93"/>
      <c r="L40" s="102">
        <v>5</v>
      </c>
      <c r="M40" s="12"/>
      <c r="O40" s="93" t="s">
        <v>19</v>
      </c>
      <c r="P40" s="93"/>
      <c r="Q40" s="114">
        <f>Debt_Coverage_P99</f>
        <v>1</v>
      </c>
      <c r="R40" s="1"/>
      <c r="S40" s="1"/>
    </row>
    <row r="41" spans="2:20" ht="12.3" x14ac:dyDescent="0.4">
      <c r="B41" s="93" t="s">
        <v>7</v>
      </c>
      <c r="C41" s="93"/>
      <c r="D41" s="110">
        <f>Site_Lease</f>
        <v>9500</v>
      </c>
      <c r="E41" s="1" t="s">
        <v>35</v>
      </c>
      <c r="F41" s="54" t="s">
        <v>27</v>
      </c>
      <c r="G41" s="99">
        <v>0.02</v>
      </c>
      <c r="I41" s="93" t="s">
        <v>113</v>
      </c>
      <c r="J41" s="93"/>
      <c r="K41" s="93"/>
      <c r="L41" s="99">
        <v>0.99</v>
      </c>
      <c r="M41" s="12"/>
      <c r="O41" s="93" t="s">
        <v>21</v>
      </c>
      <c r="P41" s="93"/>
      <c r="Q41" s="115">
        <f>PPA_Term</f>
        <v>15</v>
      </c>
      <c r="R41" s="1" t="s">
        <v>17</v>
      </c>
      <c r="S41" s="1"/>
    </row>
    <row r="42" spans="2:20" ht="11.4" x14ac:dyDescent="0.4">
      <c r="B42" s="93" t="s">
        <v>9</v>
      </c>
      <c r="C42" s="93"/>
      <c r="D42" s="110">
        <f>Property_Tax</f>
        <v>6000</v>
      </c>
      <c r="E42" s="1" t="s">
        <v>35</v>
      </c>
      <c r="F42" s="54" t="s">
        <v>28</v>
      </c>
      <c r="G42" s="99">
        <v>0</v>
      </c>
      <c r="I42" s="94" t="s">
        <v>89</v>
      </c>
      <c r="J42" s="94"/>
      <c r="K42" s="94"/>
      <c r="L42" s="99">
        <v>0.05</v>
      </c>
      <c r="M42" s="12"/>
      <c r="O42" s="94" t="s">
        <v>209</v>
      </c>
      <c r="P42" s="94"/>
      <c r="Q42" s="116">
        <f>Debt!C2</f>
        <v>1605563.9994782147</v>
      </c>
      <c r="R42" s="1" t="s">
        <v>14</v>
      </c>
      <c r="S42" s="1"/>
    </row>
    <row r="43" spans="2:20" ht="11.4" x14ac:dyDescent="0.4">
      <c r="B43" s="93" t="s">
        <v>24</v>
      </c>
      <c r="C43" s="93"/>
      <c r="D43" s="110">
        <f>Asset_Mgmt</f>
        <v>5000</v>
      </c>
      <c r="E43" s="1" t="s">
        <v>35</v>
      </c>
      <c r="F43" s="54" t="s">
        <v>28</v>
      </c>
      <c r="G43" s="99">
        <v>0</v>
      </c>
      <c r="I43" s="93" t="s">
        <v>114</v>
      </c>
      <c r="J43" s="93"/>
      <c r="K43" s="93"/>
      <c r="L43" s="101" t="s">
        <v>61</v>
      </c>
      <c r="M43" s="12"/>
      <c r="O43" s="47"/>
      <c r="P43" s="47"/>
      <c r="Q43" s="47"/>
      <c r="R43" s="1"/>
      <c r="S43" s="1"/>
    </row>
    <row r="44" spans="2:20" ht="11.4" x14ac:dyDescent="0.4">
      <c r="B44" s="93" t="s">
        <v>25</v>
      </c>
      <c r="C44" s="93"/>
      <c r="D44" s="110">
        <f>Other</f>
        <v>3000</v>
      </c>
      <c r="E44" s="1" t="s">
        <v>35</v>
      </c>
      <c r="F44" s="54" t="s">
        <v>28</v>
      </c>
      <c r="G44" s="99">
        <v>0</v>
      </c>
      <c r="I44" s="93" t="s">
        <v>54</v>
      </c>
      <c r="J44" s="93"/>
      <c r="K44" s="93"/>
      <c r="L44" s="98">
        <f>Tax_Rate</f>
        <v>0.21</v>
      </c>
      <c r="M44" s="12"/>
      <c r="Q44" s="1"/>
      <c r="R44" s="1"/>
      <c r="S44" s="1"/>
    </row>
    <row r="45" spans="2:20" ht="11.4" x14ac:dyDescent="0.4">
      <c r="B45" s="93"/>
      <c r="C45" s="93"/>
      <c r="I45" s="93" t="s">
        <v>88</v>
      </c>
      <c r="J45" s="93"/>
      <c r="K45" s="93"/>
      <c r="L45" s="8">
        <f>DATE(YEAR(T9)+L40,MONTH(3),31)</f>
        <v>46783</v>
      </c>
      <c r="M45" s="12"/>
      <c r="Q45" s="1"/>
      <c r="R45" s="1"/>
      <c r="S45" s="1"/>
    </row>
    <row r="46" spans="2:20" ht="11.4" x14ac:dyDescent="0.4">
      <c r="M46" s="12"/>
      <c r="Q46" s="1"/>
      <c r="R46" s="1"/>
      <c r="S46" s="1"/>
    </row>
    <row r="47" spans="2:20" ht="11.4" x14ac:dyDescent="0.4">
      <c r="Q47" s="1"/>
      <c r="R47" s="1"/>
      <c r="S47" s="1"/>
    </row>
    <row r="48" spans="2:20" ht="11.4" x14ac:dyDescent="0.4">
      <c r="Q48" s="1"/>
      <c r="R48" s="1"/>
      <c r="S48" s="1"/>
    </row>
    <row r="49" spans="6:19" ht="11.4" x14ac:dyDescent="0.4">
      <c r="Q49" s="1"/>
      <c r="R49" s="1"/>
      <c r="S49" s="1"/>
    </row>
    <row r="50" spans="6:19" ht="11.4" x14ac:dyDescent="0.4">
      <c r="Q50" s="1"/>
      <c r="R50" s="1"/>
      <c r="S50" s="1"/>
    </row>
    <row r="51" spans="6:19" ht="11.4" x14ac:dyDescent="0.4">
      <c r="Q51" s="1"/>
      <c r="R51" s="1"/>
      <c r="S51" s="1"/>
    </row>
    <row r="52" spans="6:19" ht="11.4" x14ac:dyDescent="0.4">
      <c r="Q52" s="1"/>
      <c r="R52" s="1"/>
      <c r="S52" s="1"/>
    </row>
    <row r="53" spans="6:19" ht="11.4" x14ac:dyDescent="0.4">
      <c r="Q53" s="1"/>
      <c r="R53" s="1"/>
      <c r="S53" s="1"/>
    </row>
    <row r="54" spans="6:19" ht="11.4" x14ac:dyDescent="0.4">
      <c r="Q54" s="1"/>
      <c r="R54" s="1"/>
      <c r="S54" s="1"/>
    </row>
    <row r="55" spans="6:19" ht="11.4" x14ac:dyDescent="0.4">
      <c r="Q55" s="1"/>
      <c r="R55" s="1"/>
      <c r="S55" s="1"/>
    </row>
    <row r="56" spans="6:19" ht="11.4" x14ac:dyDescent="0.4">
      <c r="Q56" s="1"/>
      <c r="R56" s="1"/>
      <c r="S56" s="1"/>
    </row>
    <row r="57" spans="6:19" ht="11.4" x14ac:dyDescent="0.4">
      <c r="Q57" s="1"/>
      <c r="R57" s="1"/>
      <c r="S57" s="1"/>
    </row>
    <row r="58" spans="6:19" ht="11.4" x14ac:dyDescent="0.4">
      <c r="Q58" s="1"/>
      <c r="R58" s="1"/>
      <c r="S58" s="1"/>
    </row>
    <row r="59" spans="6:19" ht="11.4" x14ac:dyDescent="0.4">
      <c r="Q59" s="1"/>
      <c r="R59" s="1"/>
      <c r="S59" s="1"/>
    </row>
    <row r="60" spans="6:19" ht="11.4" x14ac:dyDescent="0.4">
      <c r="Q60" s="1"/>
      <c r="R60" s="1"/>
      <c r="S60" s="1"/>
    </row>
    <row r="61" spans="6:19" ht="11.4" x14ac:dyDescent="0.4">
      <c r="Q61" s="1"/>
      <c r="R61" s="1"/>
      <c r="S61" s="1"/>
    </row>
    <row r="62" spans="6:19" ht="11.4" x14ac:dyDescent="0.4">
      <c r="Q62" s="1"/>
      <c r="R62" s="1"/>
      <c r="S62" s="1"/>
    </row>
    <row r="63" spans="6:19" ht="11.4" x14ac:dyDescent="0.4">
      <c r="F63" s="6"/>
      <c r="Q63" s="1"/>
      <c r="R63" s="1"/>
      <c r="S63" s="1"/>
    </row>
    <row r="65" s="1" customFormat="1" ht="11.4" x14ac:dyDescent="0.4"/>
    <row r="66" s="1" customFormat="1" ht="11.4" x14ac:dyDescent="0.4"/>
    <row r="69" s="1" customFormat="1" ht="11.4" x14ac:dyDescent="0.4"/>
    <row r="70" s="1" customFormat="1" ht="11.4" x14ac:dyDescent="0.4"/>
    <row r="71" s="1" customFormat="1" ht="11.4" x14ac:dyDescent="0.4"/>
  </sheetData>
  <phoneticPr fontId="3" type="noConversion"/>
  <pageMargins left="0.7" right="0.7" top="0.75" bottom="0.75" header="0.3" footer="0.3"/>
  <pageSetup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A497-A675-4B6F-BC6D-24A7294A9D88}">
  <sheetPr>
    <tabColor theme="1"/>
  </sheetPr>
  <dimension ref="B1:FC99"/>
  <sheetViews>
    <sheetView showGridLines="0" topLeftCell="A12" zoomScale="30" zoomScaleNormal="80" workbookViewId="0">
      <selection activeCell="J51" sqref="J51"/>
    </sheetView>
  </sheetViews>
  <sheetFormatPr defaultColWidth="9.15625" defaultRowHeight="11.4" outlineLevelRow="1" outlineLevelCol="1" x14ac:dyDescent="0.4"/>
  <cols>
    <col min="1" max="1" width="3.68359375" style="1" customWidth="1"/>
    <col min="2" max="2" width="5.83984375" style="1" customWidth="1"/>
    <col min="3" max="3" width="28.15625" style="1" customWidth="1"/>
    <col min="4" max="4" width="17.41796875" style="1" customWidth="1"/>
    <col min="5" max="18" width="16" style="1" customWidth="1"/>
    <col min="19" max="33" width="12.68359375" style="1" customWidth="1" outlineLevel="1"/>
    <col min="34" max="16384" width="9.15625" style="1"/>
  </cols>
  <sheetData>
    <row r="1" spans="2:33" x14ac:dyDescent="0.4">
      <c r="B1" s="1" t="s">
        <v>42</v>
      </c>
    </row>
    <row r="2" spans="2:33" x14ac:dyDescent="0.4">
      <c r="B2" s="46" t="str">
        <f>'Summary Inputs &amp; Assumptions'!L7</f>
        <v>P50</v>
      </c>
    </row>
    <row r="3" spans="2:33" ht="12.3" x14ac:dyDescent="0.4">
      <c r="B3" s="106" t="s">
        <v>67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</row>
    <row r="5" spans="2:33" x14ac:dyDescent="0.4">
      <c r="D5" s="42">
        <v>1</v>
      </c>
      <c r="E5" s="42">
        <v>2</v>
      </c>
      <c r="F5" s="42">
        <v>3</v>
      </c>
      <c r="G5" s="42">
        <v>4</v>
      </c>
      <c r="H5" s="42">
        <v>5</v>
      </c>
      <c r="I5" s="42">
        <v>6</v>
      </c>
      <c r="J5" s="42">
        <v>7</v>
      </c>
      <c r="K5" s="42">
        <v>8</v>
      </c>
      <c r="L5" s="42">
        <v>9</v>
      </c>
      <c r="M5" s="42">
        <v>10</v>
      </c>
      <c r="N5" s="42">
        <v>11</v>
      </c>
      <c r="O5" s="42">
        <v>12</v>
      </c>
      <c r="P5" s="42">
        <v>13</v>
      </c>
      <c r="Q5" s="42">
        <v>14</v>
      </c>
      <c r="R5" s="42">
        <v>15</v>
      </c>
      <c r="S5" s="42">
        <v>16</v>
      </c>
      <c r="T5" s="42">
        <v>17</v>
      </c>
      <c r="U5" s="42">
        <v>18</v>
      </c>
      <c r="V5" s="42">
        <v>19</v>
      </c>
      <c r="W5" s="42">
        <v>20</v>
      </c>
      <c r="X5" s="42">
        <v>21</v>
      </c>
      <c r="Y5" s="42">
        <v>22</v>
      </c>
      <c r="Z5" s="42">
        <v>23</v>
      </c>
      <c r="AA5" s="42">
        <v>24</v>
      </c>
      <c r="AB5" s="42">
        <v>25</v>
      </c>
      <c r="AC5" s="42">
        <v>26</v>
      </c>
      <c r="AD5" s="42">
        <v>27</v>
      </c>
      <c r="AE5" s="42">
        <v>28</v>
      </c>
      <c r="AF5" s="42">
        <v>29</v>
      </c>
      <c r="AG5" s="42">
        <v>30</v>
      </c>
    </row>
    <row r="6" spans="2:33" ht="11.7" thickBot="1" x14ac:dyDescent="0.45">
      <c r="C6" s="46" t="s">
        <v>40</v>
      </c>
      <c r="D6" s="41">
        <f>YEAR('Summary Inputs &amp; Assumptions'!T7)</f>
        <v>2022</v>
      </c>
      <c r="E6" s="41">
        <f>IF(E5&gt;'Summary Inputs &amp; Assumptions'!$Q$41,0,D6+1)</f>
        <v>2023</v>
      </c>
      <c r="F6" s="41">
        <f>IF(F5&gt;'Summary Inputs &amp; Assumptions'!$Q$41,0,E6+1)</f>
        <v>2024</v>
      </c>
      <c r="G6" s="41">
        <f>IF(G5&gt;'Summary Inputs &amp; Assumptions'!$Q$41,0,F6+1)</f>
        <v>2025</v>
      </c>
      <c r="H6" s="41">
        <f>IF(H5&gt;'Summary Inputs &amp; Assumptions'!$Q$41,0,G6+1)</f>
        <v>2026</v>
      </c>
      <c r="I6" s="41">
        <f>IF(I5&gt;'Summary Inputs &amp; Assumptions'!$Q$41,0,H6+1)</f>
        <v>2027</v>
      </c>
      <c r="J6" s="41">
        <f>IF(J5&gt;'Summary Inputs &amp; Assumptions'!$Q$41,0,I6+1)</f>
        <v>2028</v>
      </c>
      <c r="K6" s="41">
        <f>IF(K5&gt;'Summary Inputs &amp; Assumptions'!$Q$41,0,J6+1)</f>
        <v>2029</v>
      </c>
      <c r="L6" s="41">
        <f>IF(L5&gt;'Summary Inputs &amp; Assumptions'!$Q$41,0,K6+1)</f>
        <v>2030</v>
      </c>
      <c r="M6" s="41">
        <f>IF(M5&gt;'Summary Inputs &amp; Assumptions'!$Q$41,0,L6+1)</f>
        <v>2031</v>
      </c>
      <c r="N6" s="41">
        <f>IF(N5&gt;'Summary Inputs &amp; Assumptions'!$Q$41,0,M6+1)</f>
        <v>2032</v>
      </c>
      <c r="O6" s="41">
        <f>IF(O5&gt;'Summary Inputs &amp; Assumptions'!$Q$41,0,N6+1)</f>
        <v>2033</v>
      </c>
      <c r="P6" s="41">
        <f>IF(P5&gt;'Summary Inputs &amp; Assumptions'!$Q$41,0,O6+1)</f>
        <v>2034</v>
      </c>
      <c r="Q6" s="41">
        <f>IF(Q5&gt;'Summary Inputs &amp; Assumptions'!$Q$41,0,P6+1)</f>
        <v>2035</v>
      </c>
      <c r="R6" s="41">
        <f>IF(R5&gt;'Summary Inputs &amp; Assumptions'!$Q$41,0,Q6+1)</f>
        <v>2036</v>
      </c>
      <c r="S6" s="41">
        <f>IF(S5&gt;'Summary Inputs &amp; Assumptions'!$Q$41,0,R6+1)</f>
        <v>0</v>
      </c>
      <c r="T6" s="41">
        <f>IF(T5&gt;'Summary Inputs &amp; Assumptions'!$Q$41,0,S6+1)</f>
        <v>0</v>
      </c>
      <c r="U6" s="41">
        <f>IF(U5&gt;'Summary Inputs &amp; Assumptions'!$Q$41,0,T6+1)</f>
        <v>0</v>
      </c>
      <c r="V6" s="41">
        <f>IF(V5&gt;'Summary Inputs &amp; Assumptions'!$Q$41,0,U6+1)</f>
        <v>0</v>
      </c>
      <c r="W6" s="41">
        <f>IF(W5&gt;'Summary Inputs &amp; Assumptions'!$Q$41,0,V6+1)</f>
        <v>0</v>
      </c>
      <c r="X6" s="41">
        <f>IF(X5&gt;'Summary Inputs &amp; Assumptions'!$Q$41,0,W6+1)</f>
        <v>0</v>
      </c>
      <c r="Y6" s="41">
        <f>IF(Y5&gt;'Summary Inputs &amp; Assumptions'!$Q$41,0,X6+1)</f>
        <v>0</v>
      </c>
      <c r="Z6" s="41">
        <f>IF(Z5&gt;'Summary Inputs &amp; Assumptions'!$Q$41,0,Y6+1)</f>
        <v>0</v>
      </c>
      <c r="AA6" s="41">
        <f>IF(AA5&gt;'Summary Inputs &amp; Assumptions'!$Q$41,0,Z6+1)</f>
        <v>0</v>
      </c>
      <c r="AB6" s="41">
        <f>IF(AB5&gt;'Summary Inputs &amp; Assumptions'!$Q$41,0,AA6+1)</f>
        <v>0</v>
      </c>
      <c r="AC6" s="41">
        <f>IF(AC5&gt;'Summary Inputs &amp; Assumptions'!$Q$41,0,AB6+1)</f>
        <v>0</v>
      </c>
      <c r="AD6" s="41">
        <f>IF(AD5&gt;'Summary Inputs &amp; Assumptions'!$Q$41,0,AC6+1)</f>
        <v>0</v>
      </c>
      <c r="AE6" s="41">
        <f>IF(AE5&gt;'Summary Inputs &amp; Assumptions'!$Q$41,0,AD6+1)</f>
        <v>0</v>
      </c>
      <c r="AF6" s="41">
        <f>IF(AF5&gt;'Summary Inputs &amp; Assumptions'!$Q$41,0,AE6+1)</f>
        <v>0</v>
      </c>
      <c r="AG6" s="41">
        <f>IF(AG5&gt;'Summary Inputs &amp; Assumptions'!$Q$41,0,AF6+1)</f>
        <v>0</v>
      </c>
    </row>
    <row r="8" spans="2:33" x14ac:dyDescent="0.4">
      <c r="B8" s="1" t="s">
        <v>41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</row>
    <row r="9" spans="2:33" x14ac:dyDescent="0.4">
      <c r="C9" s="1" t="str">
        <f>'Summary Inputs &amp; Assumptions'!B19</f>
        <v>Size (DC)</v>
      </c>
      <c r="D9" s="23">
        <f t="shared" ref="D9:AG9" si="0">Project_Size_DC</f>
        <v>2.72</v>
      </c>
      <c r="E9" s="23">
        <f t="shared" si="0"/>
        <v>2.72</v>
      </c>
      <c r="F9" s="23">
        <f t="shared" si="0"/>
        <v>2.72</v>
      </c>
      <c r="G9" s="23">
        <f t="shared" si="0"/>
        <v>2.72</v>
      </c>
      <c r="H9" s="23">
        <f t="shared" si="0"/>
        <v>2.72</v>
      </c>
      <c r="I9" s="23">
        <f t="shared" si="0"/>
        <v>2.72</v>
      </c>
      <c r="J9" s="23">
        <f t="shared" si="0"/>
        <v>2.72</v>
      </c>
      <c r="K9" s="23">
        <f t="shared" si="0"/>
        <v>2.72</v>
      </c>
      <c r="L9" s="23">
        <f t="shared" si="0"/>
        <v>2.72</v>
      </c>
      <c r="M9" s="23">
        <f t="shared" si="0"/>
        <v>2.72</v>
      </c>
      <c r="N9" s="23">
        <f t="shared" si="0"/>
        <v>2.72</v>
      </c>
      <c r="O9" s="23">
        <f t="shared" si="0"/>
        <v>2.72</v>
      </c>
      <c r="P9" s="23">
        <f t="shared" si="0"/>
        <v>2.72</v>
      </c>
      <c r="Q9" s="23">
        <f t="shared" si="0"/>
        <v>2.72</v>
      </c>
      <c r="R9" s="23">
        <f t="shared" si="0"/>
        <v>2.72</v>
      </c>
      <c r="S9" s="23">
        <f t="shared" si="0"/>
        <v>2.72</v>
      </c>
      <c r="T9" s="23">
        <f t="shared" si="0"/>
        <v>2.72</v>
      </c>
      <c r="U9" s="23">
        <f t="shared" si="0"/>
        <v>2.72</v>
      </c>
      <c r="V9" s="23">
        <f t="shared" si="0"/>
        <v>2.72</v>
      </c>
      <c r="W9" s="23">
        <f t="shared" si="0"/>
        <v>2.72</v>
      </c>
      <c r="X9" s="23">
        <f t="shared" si="0"/>
        <v>2.72</v>
      </c>
      <c r="Y9" s="23">
        <f t="shared" si="0"/>
        <v>2.72</v>
      </c>
      <c r="Z9" s="23">
        <f t="shared" si="0"/>
        <v>2.72</v>
      </c>
      <c r="AA9" s="23">
        <f t="shared" si="0"/>
        <v>2.72</v>
      </c>
      <c r="AB9" s="23">
        <f t="shared" si="0"/>
        <v>2.72</v>
      </c>
      <c r="AC9" s="23">
        <f t="shared" si="0"/>
        <v>2.72</v>
      </c>
      <c r="AD9" s="23">
        <f t="shared" si="0"/>
        <v>2.72</v>
      </c>
      <c r="AE9" s="23">
        <f t="shared" si="0"/>
        <v>2.72</v>
      </c>
      <c r="AF9" s="23">
        <f t="shared" si="0"/>
        <v>2.72</v>
      </c>
      <c r="AG9" s="23">
        <f t="shared" si="0"/>
        <v>2.72</v>
      </c>
    </row>
    <row r="10" spans="2:33" x14ac:dyDescent="0.4">
      <c r="C10" s="1" t="str">
        <f>'Summary Inputs &amp; Assumptions'!B23</f>
        <v>Yield (kWh/kWdc)</v>
      </c>
      <c r="D10" s="24">
        <f t="shared" ref="D10:AG10" si="1">Yield</f>
        <v>1800</v>
      </c>
      <c r="E10" s="24">
        <f t="shared" si="1"/>
        <v>1800</v>
      </c>
      <c r="F10" s="24">
        <f t="shared" si="1"/>
        <v>1800</v>
      </c>
      <c r="G10" s="24">
        <f t="shared" si="1"/>
        <v>1800</v>
      </c>
      <c r="H10" s="24">
        <f t="shared" si="1"/>
        <v>1800</v>
      </c>
      <c r="I10" s="24">
        <f t="shared" si="1"/>
        <v>1800</v>
      </c>
      <c r="J10" s="24">
        <f t="shared" si="1"/>
        <v>1800</v>
      </c>
      <c r="K10" s="24">
        <f t="shared" si="1"/>
        <v>1800</v>
      </c>
      <c r="L10" s="24">
        <f t="shared" si="1"/>
        <v>1800</v>
      </c>
      <c r="M10" s="24">
        <f t="shared" si="1"/>
        <v>1800</v>
      </c>
      <c r="N10" s="24">
        <f t="shared" si="1"/>
        <v>1800</v>
      </c>
      <c r="O10" s="24">
        <f t="shared" si="1"/>
        <v>1800</v>
      </c>
      <c r="P10" s="24">
        <f t="shared" si="1"/>
        <v>1800</v>
      </c>
      <c r="Q10" s="24">
        <f t="shared" si="1"/>
        <v>1800</v>
      </c>
      <c r="R10" s="24">
        <f t="shared" si="1"/>
        <v>1800</v>
      </c>
      <c r="S10" s="24">
        <f t="shared" si="1"/>
        <v>1800</v>
      </c>
      <c r="T10" s="24">
        <f t="shared" si="1"/>
        <v>1800</v>
      </c>
      <c r="U10" s="24">
        <f t="shared" si="1"/>
        <v>1800</v>
      </c>
      <c r="V10" s="24">
        <f t="shared" si="1"/>
        <v>1800</v>
      </c>
      <c r="W10" s="24">
        <f t="shared" si="1"/>
        <v>1800</v>
      </c>
      <c r="X10" s="24">
        <f t="shared" si="1"/>
        <v>1800</v>
      </c>
      <c r="Y10" s="24">
        <f t="shared" si="1"/>
        <v>1800</v>
      </c>
      <c r="Z10" s="24">
        <f t="shared" si="1"/>
        <v>1800</v>
      </c>
      <c r="AA10" s="24">
        <f t="shared" si="1"/>
        <v>1800</v>
      </c>
      <c r="AB10" s="24">
        <f t="shared" si="1"/>
        <v>1800</v>
      </c>
      <c r="AC10" s="24">
        <f t="shared" si="1"/>
        <v>1800</v>
      </c>
      <c r="AD10" s="24">
        <f t="shared" si="1"/>
        <v>1800</v>
      </c>
      <c r="AE10" s="24">
        <f t="shared" si="1"/>
        <v>1800</v>
      </c>
      <c r="AF10" s="24">
        <f t="shared" si="1"/>
        <v>1800</v>
      </c>
      <c r="AG10" s="24">
        <f t="shared" si="1"/>
        <v>1800</v>
      </c>
    </row>
    <row r="11" spans="2:33" x14ac:dyDescent="0.4">
      <c r="C11" s="1" t="str">
        <f>'Summary Inputs &amp; Assumptions'!B27</f>
        <v>Percentage of production in Year 1</v>
      </c>
      <c r="D11" s="25">
        <f t="shared" ref="D11:AG11" si="2">IF(D$6=YEAR(Construction_Start_Date),Percentage_of_production_in_Year_1,C11*(1-Annual_Degradation))</f>
        <v>1</v>
      </c>
      <c r="E11" s="25">
        <f t="shared" si="2"/>
        <v>0.997</v>
      </c>
      <c r="F11" s="25">
        <f t="shared" si="2"/>
        <v>0.99400900000000003</v>
      </c>
      <c r="G11" s="25">
        <f t="shared" si="2"/>
        <v>0.99102697299999998</v>
      </c>
      <c r="H11" s="25">
        <f t="shared" si="2"/>
        <v>0.98805389208100003</v>
      </c>
      <c r="I11" s="25">
        <f t="shared" si="2"/>
        <v>0.985089730404757</v>
      </c>
      <c r="J11" s="25">
        <f t="shared" si="2"/>
        <v>0.98213446121354275</v>
      </c>
      <c r="K11" s="25">
        <f t="shared" si="2"/>
        <v>0.97918805782990215</v>
      </c>
      <c r="L11" s="25">
        <f t="shared" si="2"/>
        <v>0.97625049365641248</v>
      </c>
      <c r="M11" s="25">
        <f t="shared" si="2"/>
        <v>0.97332174217544321</v>
      </c>
      <c r="N11" s="25">
        <f t="shared" si="2"/>
        <v>0.97040177694891683</v>
      </c>
      <c r="O11" s="25">
        <f t="shared" si="2"/>
        <v>0.96749057161807006</v>
      </c>
      <c r="P11" s="25">
        <f t="shared" si="2"/>
        <v>0.96458809990321581</v>
      </c>
      <c r="Q11" s="25">
        <f t="shared" si="2"/>
        <v>0.96169433560350615</v>
      </c>
      <c r="R11" s="25">
        <f t="shared" si="2"/>
        <v>0.95880925259669558</v>
      </c>
      <c r="S11" s="25">
        <f t="shared" si="2"/>
        <v>0.95593282483890551</v>
      </c>
      <c r="T11" s="25">
        <f t="shared" si="2"/>
        <v>0.95306502636438883</v>
      </c>
      <c r="U11" s="25">
        <f t="shared" si="2"/>
        <v>0.95020583128529568</v>
      </c>
      <c r="V11" s="25">
        <f t="shared" si="2"/>
        <v>0.94735521379143983</v>
      </c>
      <c r="W11" s="25">
        <f t="shared" si="2"/>
        <v>0.94451314815006548</v>
      </c>
      <c r="X11" s="25">
        <f t="shared" si="2"/>
        <v>0.94167960870561529</v>
      </c>
      <c r="Y11" s="25">
        <f t="shared" si="2"/>
        <v>0.93885456987949845</v>
      </c>
      <c r="Z11" s="25">
        <f t="shared" si="2"/>
        <v>0.93603800616985999</v>
      </c>
      <c r="AA11" s="25">
        <f t="shared" si="2"/>
        <v>0.93322989215135044</v>
      </c>
      <c r="AB11" s="25">
        <f t="shared" si="2"/>
        <v>0.93043020247489638</v>
      </c>
      <c r="AC11" s="25">
        <f t="shared" si="2"/>
        <v>0.92763891186747172</v>
      </c>
      <c r="AD11" s="25">
        <f t="shared" si="2"/>
        <v>0.92485599513186934</v>
      </c>
      <c r="AE11" s="25">
        <f t="shared" si="2"/>
        <v>0.92208142714647368</v>
      </c>
      <c r="AF11" s="25">
        <f t="shared" si="2"/>
        <v>0.91931518286503422</v>
      </c>
      <c r="AG11" s="25">
        <f t="shared" si="2"/>
        <v>0.91655723731643912</v>
      </c>
    </row>
    <row r="12" spans="2:33" x14ac:dyDescent="0.4">
      <c r="C12" s="1" t="str">
        <f>'Summary Inputs &amp; Assumptions'!B29</f>
        <v>PPA Price</v>
      </c>
      <c r="D12" s="26">
        <f t="shared" ref="D12:AG12" si="3">IF(D$6=YEAR(Construction_Start_Date),PPA_Rate*(1+PPA_Escalator),C12*(1+PPA_Escalator))</f>
        <v>5.8000000000000003E-2</v>
      </c>
      <c r="E12" s="26">
        <f t="shared" si="3"/>
        <v>5.8000000000000003E-2</v>
      </c>
      <c r="F12" s="26">
        <f t="shared" si="3"/>
        <v>5.8000000000000003E-2</v>
      </c>
      <c r="G12" s="26">
        <f t="shared" si="3"/>
        <v>5.8000000000000003E-2</v>
      </c>
      <c r="H12" s="26">
        <f t="shared" si="3"/>
        <v>5.8000000000000003E-2</v>
      </c>
      <c r="I12" s="26">
        <f t="shared" si="3"/>
        <v>5.8000000000000003E-2</v>
      </c>
      <c r="J12" s="26">
        <f t="shared" si="3"/>
        <v>5.8000000000000003E-2</v>
      </c>
      <c r="K12" s="26">
        <f t="shared" si="3"/>
        <v>5.8000000000000003E-2</v>
      </c>
      <c r="L12" s="26">
        <f t="shared" si="3"/>
        <v>5.8000000000000003E-2</v>
      </c>
      <c r="M12" s="26">
        <f t="shared" si="3"/>
        <v>5.8000000000000003E-2</v>
      </c>
      <c r="N12" s="26">
        <f t="shared" si="3"/>
        <v>5.8000000000000003E-2</v>
      </c>
      <c r="O12" s="26">
        <f t="shared" si="3"/>
        <v>5.8000000000000003E-2</v>
      </c>
      <c r="P12" s="26">
        <f t="shared" si="3"/>
        <v>5.8000000000000003E-2</v>
      </c>
      <c r="Q12" s="26">
        <f t="shared" si="3"/>
        <v>5.8000000000000003E-2</v>
      </c>
      <c r="R12" s="26">
        <f t="shared" si="3"/>
        <v>5.8000000000000003E-2</v>
      </c>
      <c r="S12" s="26">
        <f t="shared" si="3"/>
        <v>5.8000000000000003E-2</v>
      </c>
      <c r="T12" s="26">
        <f t="shared" si="3"/>
        <v>5.8000000000000003E-2</v>
      </c>
      <c r="U12" s="26">
        <f t="shared" si="3"/>
        <v>5.8000000000000003E-2</v>
      </c>
      <c r="V12" s="26">
        <f t="shared" si="3"/>
        <v>5.8000000000000003E-2</v>
      </c>
      <c r="W12" s="26">
        <f t="shared" si="3"/>
        <v>5.8000000000000003E-2</v>
      </c>
      <c r="X12" s="26">
        <f t="shared" si="3"/>
        <v>5.8000000000000003E-2</v>
      </c>
      <c r="Y12" s="26">
        <f t="shared" si="3"/>
        <v>5.8000000000000003E-2</v>
      </c>
      <c r="Z12" s="26">
        <f t="shared" si="3"/>
        <v>5.8000000000000003E-2</v>
      </c>
      <c r="AA12" s="26">
        <f t="shared" si="3"/>
        <v>5.8000000000000003E-2</v>
      </c>
      <c r="AB12" s="26">
        <f t="shared" si="3"/>
        <v>5.8000000000000003E-2</v>
      </c>
      <c r="AC12" s="26">
        <f t="shared" si="3"/>
        <v>5.8000000000000003E-2</v>
      </c>
      <c r="AD12" s="26">
        <f t="shared" si="3"/>
        <v>5.8000000000000003E-2</v>
      </c>
      <c r="AE12" s="26">
        <f t="shared" si="3"/>
        <v>5.8000000000000003E-2</v>
      </c>
      <c r="AF12" s="26">
        <f t="shared" si="3"/>
        <v>5.8000000000000003E-2</v>
      </c>
      <c r="AG12" s="26">
        <f t="shared" si="3"/>
        <v>5.8000000000000003E-2</v>
      </c>
    </row>
    <row r="13" spans="2:33" x14ac:dyDescent="0.4">
      <c r="C13" s="1" t="s">
        <v>112</v>
      </c>
      <c r="D13" s="48">
        <f t="shared" ref="D13:AG13" si="4">IF(D6=YEAR(Placement_in_Service_Date),((DATE(YEAR(Placement_in_Service_Date),12,31))-Placement_in_Service_Date+1)/((DATE(YEAR(Placement_in_Service_Date),12,31))-(DATE(YEAR(Placement_in_Service_Date),1,1))+1),IF(D6&lt;YEAR(Placement_in_Service_Date),0,1))</f>
        <v>0.54794520547945202</v>
      </c>
      <c r="E13" s="48">
        <f t="shared" si="4"/>
        <v>1</v>
      </c>
      <c r="F13" s="48">
        <f t="shared" si="4"/>
        <v>1</v>
      </c>
      <c r="G13" s="48">
        <f t="shared" si="4"/>
        <v>1</v>
      </c>
      <c r="H13" s="48">
        <f t="shared" si="4"/>
        <v>1</v>
      </c>
      <c r="I13" s="48">
        <f t="shared" si="4"/>
        <v>1</v>
      </c>
      <c r="J13" s="48">
        <f t="shared" si="4"/>
        <v>1</v>
      </c>
      <c r="K13" s="48">
        <f t="shared" si="4"/>
        <v>1</v>
      </c>
      <c r="L13" s="48">
        <f t="shared" si="4"/>
        <v>1</v>
      </c>
      <c r="M13" s="48">
        <f t="shared" si="4"/>
        <v>1</v>
      </c>
      <c r="N13" s="48">
        <f t="shared" si="4"/>
        <v>1</v>
      </c>
      <c r="O13" s="48">
        <f t="shared" si="4"/>
        <v>1</v>
      </c>
      <c r="P13" s="48">
        <f t="shared" si="4"/>
        <v>1</v>
      </c>
      <c r="Q13" s="48">
        <f t="shared" si="4"/>
        <v>1</v>
      </c>
      <c r="R13" s="48">
        <f t="shared" si="4"/>
        <v>1</v>
      </c>
      <c r="S13" s="48">
        <f t="shared" si="4"/>
        <v>0</v>
      </c>
      <c r="T13" s="48">
        <f t="shared" si="4"/>
        <v>0</v>
      </c>
      <c r="U13" s="48">
        <f t="shared" si="4"/>
        <v>0</v>
      </c>
      <c r="V13" s="48">
        <f t="shared" si="4"/>
        <v>0</v>
      </c>
      <c r="W13" s="48">
        <f t="shared" si="4"/>
        <v>0</v>
      </c>
      <c r="X13" s="48">
        <f t="shared" si="4"/>
        <v>0</v>
      </c>
      <c r="Y13" s="48">
        <f t="shared" si="4"/>
        <v>0</v>
      </c>
      <c r="Z13" s="48">
        <f t="shared" si="4"/>
        <v>0</v>
      </c>
      <c r="AA13" s="48">
        <f t="shared" si="4"/>
        <v>0</v>
      </c>
      <c r="AB13" s="48">
        <f t="shared" si="4"/>
        <v>0</v>
      </c>
      <c r="AC13" s="48">
        <f t="shared" si="4"/>
        <v>0</v>
      </c>
      <c r="AD13" s="48">
        <f t="shared" si="4"/>
        <v>0</v>
      </c>
      <c r="AE13" s="48">
        <f t="shared" si="4"/>
        <v>0</v>
      </c>
      <c r="AF13" s="48">
        <f t="shared" si="4"/>
        <v>0</v>
      </c>
      <c r="AG13" s="48">
        <f t="shared" si="4"/>
        <v>0</v>
      </c>
    </row>
    <row r="14" spans="2:33" ht="11.7" thickBot="1" x14ac:dyDescent="0.45"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</row>
    <row r="15" spans="2:33" x14ac:dyDescent="0.4">
      <c r="C15" s="1" t="s">
        <v>45</v>
      </c>
      <c r="D15" s="43">
        <f>D9*D10*D11*D12*1000*D13</f>
        <v>155598.90410958903</v>
      </c>
      <c r="E15" s="43">
        <f>E9*E10*E11*E12*1000*E13</f>
        <v>283116.09600000002</v>
      </c>
      <c r="F15" s="43">
        <f t="shared" ref="F15:R15" si="5">F9*F10*F11*F12*1000*F13</f>
        <v>282266.74771200004</v>
      </c>
      <c r="G15" s="43">
        <f t="shared" si="5"/>
        <v>281419.94746886397</v>
      </c>
      <c r="H15" s="43">
        <f t="shared" si="5"/>
        <v>280575.68762645742</v>
      </c>
      <c r="I15" s="43">
        <f t="shared" si="5"/>
        <v>279733.960563578</v>
      </c>
      <c r="J15" s="43">
        <f t="shared" si="5"/>
        <v>278894.7586818873</v>
      </c>
      <c r="K15" s="43">
        <f t="shared" si="5"/>
        <v>278058.0744058417</v>
      </c>
      <c r="L15" s="43">
        <f t="shared" si="5"/>
        <v>277223.90018262417</v>
      </c>
      <c r="M15" s="43">
        <f t="shared" si="5"/>
        <v>276392.22848207632</v>
      </c>
      <c r="N15" s="43">
        <f t="shared" si="5"/>
        <v>275563.05179663002</v>
      </c>
      <c r="O15" s="43">
        <f t="shared" si="5"/>
        <v>274736.36264124012</v>
      </c>
      <c r="P15" s="43">
        <f t="shared" si="5"/>
        <v>273912.15355331637</v>
      </c>
      <c r="Q15" s="43">
        <f t="shared" si="5"/>
        <v>273090.41709265648</v>
      </c>
      <c r="R15" s="43">
        <f t="shared" si="5"/>
        <v>272271.14584137849</v>
      </c>
      <c r="S15" s="43">
        <f>S9*S10*S11*S12*1000*S13</f>
        <v>0</v>
      </c>
      <c r="T15" s="43">
        <f t="shared" ref="T15:AG15" si="6">T9*T10*T11*T12*1000*T13</f>
        <v>0</v>
      </c>
      <c r="U15" s="43">
        <f t="shared" si="6"/>
        <v>0</v>
      </c>
      <c r="V15" s="43">
        <f t="shared" si="6"/>
        <v>0</v>
      </c>
      <c r="W15" s="43">
        <f t="shared" si="6"/>
        <v>0</v>
      </c>
      <c r="X15" s="43">
        <f t="shared" si="6"/>
        <v>0</v>
      </c>
      <c r="Y15" s="43">
        <f t="shared" si="6"/>
        <v>0</v>
      </c>
      <c r="Z15" s="43">
        <f t="shared" si="6"/>
        <v>0</v>
      </c>
      <c r="AA15" s="43">
        <f t="shared" si="6"/>
        <v>0</v>
      </c>
      <c r="AB15" s="43">
        <f t="shared" si="6"/>
        <v>0</v>
      </c>
      <c r="AC15" s="43">
        <f t="shared" si="6"/>
        <v>0</v>
      </c>
      <c r="AD15" s="43">
        <f t="shared" si="6"/>
        <v>0</v>
      </c>
      <c r="AE15" s="43">
        <f t="shared" si="6"/>
        <v>0</v>
      </c>
      <c r="AF15" s="43">
        <f t="shared" si="6"/>
        <v>0</v>
      </c>
      <c r="AG15" s="43">
        <f t="shared" si="6"/>
        <v>0</v>
      </c>
    </row>
    <row r="16" spans="2:33" x14ac:dyDescent="0.4"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2:33" x14ac:dyDescent="0.4">
      <c r="B17" s="47" t="str">
        <f>'Summary Inputs &amp; Assumptions'!B37</f>
        <v>Operating Expenses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2:33" x14ac:dyDescent="0.4">
      <c r="C18" s="1" t="str">
        <f>'Summary Inputs &amp; Assumptions'!B39</f>
        <v>Insurance</v>
      </c>
      <c r="D18" s="27">
        <f>IF(AND(D$6=YEAR(Construction_Start_Date),D$5&lt;Debt!$C$3),'Summary Inputs &amp; Assumptions'!$D$39*D$13,IF(D$5&gt;'Summary Inputs &amp; Assumptions'!$Q$41,0,(C18*(1+'Summary Inputs &amp; Assumptions'!$G39))))</f>
        <v>1753.4246575342465</v>
      </c>
      <c r="E18" s="27">
        <f>IF(AND(E$6=YEAR('Summary Inputs &amp; Assumptions'!$T$7),E$5&lt;Debt!$C$3),'Summary Inputs &amp; Assumptions'!E39*E$13,IF(E$5&gt;'Summary Inputs &amp; Assumptions'!$Q$41,0,(D18/D$13)*(1+'Summary Inputs &amp; Assumptions'!$G39)))</f>
        <v>3200</v>
      </c>
      <c r="F18" s="27">
        <f>IF(AND(F$6=YEAR('Summary Inputs &amp; Assumptions'!$T$7),F$5&lt;Debt!$C$3),'Summary Inputs &amp; Assumptions'!F39*F$13,IF(F$5&gt;'Summary Inputs &amp; Assumptions'!$Q$41,0,(E18/E$13)*(1+'Summary Inputs &amp; Assumptions'!$G39)))</f>
        <v>3200</v>
      </c>
      <c r="G18" s="27">
        <f>IF(AND(G$6=YEAR('Summary Inputs &amp; Assumptions'!$T$7),G$5&lt;Debt!$C$3),'Summary Inputs &amp; Assumptions'!G39*G$13,IF(G$5&gt;'Summary Inputs &amp; Assumptions'!$Q$41,0,(F18/F$13)*(1+'Summary Inputs &amp; Assumptions'!$G39)))</f>
        <v>3200</v>
      </c>
      <c r="H18" s="27">
        <f>IF(AND(H$6=YEAR('Summary Inputs &amp; Assumptions'!$T$7),H$5&lt;Debt!$C$3),'Summary Inputs &amp; Assumptions'!#REF!*H$13,IF(H$5&gt;'Summary Inputs &amp; Assumptions'!$Q$41,0,(G18/G$13)*(1+'Summary Inputs &amp; Assumptions'!$G39)))</f>
        <v>3200</v>
      </c>
      <c r="I18" s="27">
        <f>IF(AND(I$6=YEAR('Summary Inputs &amp; Assumptions'!$T$7),I$5&lt;Debt!$C$3),'Summary Inputs &amp; Assumptions'!#REF!*I$13,IF(I$5&gt;'Summary Inputs &amp; Assumptions'!$Q$41,0,(H18/H$13)*(1+'Summary Inputs &amp; Assumptions'!$G39)))</f>
        <v>3200</v>
      </c>
      <c r="J18" s="27">
        <f>IF(AND(J$6=YEAR('Summary Inputs &amp; Assumptions'!$T$7),J$5&lt;Debt!$C$3),'Summary Inputs &amp; Assumptions'!#REF!*J$13,IF(J$5&gt;'Summary Inputs &amp; Assumptions'!$Q$41,0,(I18/I$13)*(1+'Summary Inputs &amp; Assumptions'!$G39)))</f>
        <v>3200</v>
      </c>
      <c r="K18" s="27">
        <f>IF(AND(K$6=YEAR('Summary Inputs &amp; Assumptions'!$T$7),K$5&lt;Debt!$C$3),'Summary Inputs &amp; Assumptions'!#REF!*K$13,IF(K$5&gt;'Summary Inputs &amp; Assumptions'!$Q$41,0,(J18/J$13)*(1+'Summary Inputs &amp; Assumptions'!$G39)))</f>
        <v>3200</v>
      </c>
      <c r="L18" s="27">
        <f>IF(AND(L$6=YEAR('Summary Inputs &amp; Assumptions'!$T$7),L$5&lt;Debt!$C$3),'Summary Inputs &amp; Assumptions'!#REF!*L$13,IF(L$5&gt;'Summary Inputs &amp; Assumptions'!$Q$41,0,(K18/K$13)*(1+'Summary Inputs &amp; Assumptions'!$G39)))</f>
        <v>3200</v>
      </c>
      <c r="M18" s="27">
        <f>IF(AND(M$6=YEAR('Summary Inputs &amp; Assumptions'!$T$7),M$5&lt;Debt!$C$3),'Summary Inputs &amp; Assumptions'!#REF!*M$13,IF(M$5&gt;'Summary Inputs &amp; Assumptions'!$Q$41,0,(L18/L$13)*(1+'Summary Inputs &amp; Assumptions'!$G39)))</f>
        <v>3200</v>
      </c>
      <c r="N18" s="27">
        <f>IF(AND(N$6=YEAR('Summary Inputs &amp; Assumptions'!$T$7),N$5&lt;Debt!$C$3),'Summary Inputs &amp; Assumptions'!#REF!*N$13,IF(N$5&gt;'Summary Inputs &amp; Assumptions'!$Q$41,0,(M18/M$13)*(1+'Summary Inputs &amp; Assumptions'!$G39)))</f>
        <v>3200</v>
      </c>
      <c r="O18" s="27">
        <f>IF(AND(O$6=YEAR('Summary Inputs &amp; Assumptions'!$T$7),O$5&lt;Debt!$C$3),'Summary Inputs &amp; Assumptions'!#REF!*O$13,IF(O$5&gt;'Summary Inputs &amp; Assumptions'!$Q$41,0,(N18/N$13)*(1+'Summary Inputs &amp; Assumptions'!$G39)))</f>
        <v>3200</v>
      </c>
      <c r="P18" s="27">
        <f>IF(AND(P$6=YEAR('Summary Inputs &amp; Assumptions'!$T$7),P$5&lt;Debt!$C$3),'Summary Inputs &amp; Assumptions'!#REF!*P$13,IF(P$5&gt;'Summary Inputs &amp; Assumptions'!$Q$41,0,(O18/O$13)*(1+'Summary Inputs &amp; Assumptions'!$G39)))</f>
        <v>3200</v>
      </c>
      <c r="Q18" s="27">
        <f>IF(AND(Q$6=YEAR('Summary Inputs &amp; Assumptions'!$T$7),Q$5&lt;Debt!$C$3),'Summary Inputs &amp; Assumptions'!#REF!*Q$13,IF(Q$5&gt;'Summary Inputs &amp; Assumptions'!$Q$41,0,(P18/P$13)*(1+'Summary Inputs &amp; Assumptions'!$G39)))</f>
        <v>3200</v>
      </c>
      <c r="R18" s="27">
        <f>IF(AND(R$6=YEAR('Summary Inputs &amp; Assumptions'!$T$7),R$5&lt;Debt!$C$3),'Summary Inputs &amp; Assumptions'!#REF!*R$13,IF(R$5&gt;'Summary Inputs &amp; Assumptions'!$Q$41,0,(Q18/Q$13)*(1+'Summary Inputs &amp; Assumptions'!$G39)))</f>
        <v>3200</v>
      </c>
      <c r="S18" s="27">
        <f>IF(AND(S$6=YEAR('Summary Inputs &amp; Assumptions'!$T$7),S$5&lt;Debt!$C$3),'Summary Inputs &amp; Assumptions'!V62*S$13,IF(S$5&gt;'Summary Inputs &amp; Assumptions'!$Q$41,0,(R18/R$13)*(1+'Summary Inputs &amp; Assumptions'!$G39)))</f>
        <v>0</v>
      </c>
      <c r="T18" s="27">
        <f>IF(AND(T$6=YEAR('Summary Inputs &amp; Assumptions'!$T$7),T$5&lt;Debt!$C$3),'Summary Inputs &amp; Assumptions'!W62*T$13,IF(T$5&gt;'Summary Inputs &amp; Assumptions'!$Q$41,0,(S18/S$13)*(1+'Summary Inputs &amp; Assumptions'!$G39)))</f>
        <v>0</v>
      </c>
      <c r="U18" s="27">
        <f>IF(AND(U$6=YEAR('Summary Inputs &amp; Assumptions'!$T$7),U$5&lt;Debt!$C$3),'Summary Inputs &amp; Assumptions'!X62*U$13,IF(U$5&gt;'Summary Inputs &amp; Assumptions'!$Q$41,0,(T18/T$13)*(1+'Summary Inputs &amp; Assumptions'!$G39)))</f>
        <v>0</v>
      </c>
      <c r="V18" s="27">
        <f>IF(AND(V$6=YEAR('Summary Inputs &amp; Assumptions'!$T$7),V$5&lt;Debt!$C$3),'Summary Inputs &amp; Assumptions'!Y62*V$13,IF(V$5&gt;'Summary Inputs &amp; Assumptions'!$Q$41,0,(U18/U$13)*(1+'Summary Inputs &amp; Assumptions'!$G39)))</f>
        <v>0</v>
      </c>
      <c r="W18" s="27">
        <f>IF(AND(W$6=YEAR('Summary Inputs &amp; Assumptions'!$T$7),W$5&lt;Debt!$C$3),'Summary Inputs &amp; Assumptions'!Z62*W$13,IF(W$5&gt;'Summary Inputs &amp; Assumptions'!$Q$41,0,(V18/V$13)*(1+'Summary Inputs &amp; Assumptions'!$G39)))</f>
        <v>0</v>
      </c>
      <c r="X18" s="27">
        <f>IF(AND(X$6=YEAR('Summary Inputs &amp; Assumptions'!$T$7),X$5&lt;Debt!$C$3),'Summary Inputs &amp; Assumptions'!AA60*X$13,IF(X$5&gt;'Summary Inputs &amp; Assumptions'!$Q$41,0,(W18/W$13)*(1+'Summary Inputs &amp; Assumptions'!$G39)))</f>
        <v>0</v>
      </c>
      <c r="Y18" s="27">
        <f>IF(AND(Y$6=YEAR('Summary Inputs &amp; Assumptions'!$T$7),Y$5&lt;Debt!$C$3),'Summary Inputs &amp; Assumptions'!#REF!*Y$13,IF(Y$5&gt;'Summary Inputs &amp; Assumptions'!$Q$41,0,(X18/X$13)*(1+'Summary Inputs &amp; Assumptions'!$G39)))</f>
        <v>0</v>
      </c>
      <c r="Z18" s="27">
        <f>IF(AND(Z$6=YEAR('Summary Inputs &amp; Assumptions'!$T$7),Z$5&lt;Debt!$C$3),'Summary Inputs &amp; Assumptions'!#REF!*Z$13,IF(Z$5&gt;'Summary Inputs &amp; Assumptions'!$Q$41,0,(Y18/Y$13)*(1+'Summary Inputs &amp; Assumptions'!$G39)))</f>
        <v>0</v>
      </c>
      <c r="AA18" s="27">
        <f>IF(AND(AA$6=YEAR('Summary Inputs &amp; Assumptions'!$T$7),AA$5&lt;Debt!$C$3),'Summary Inputs &amp; Assumptions'!#REF!*AA$13,IF(AA$5&gt;'Summary Inputs &amp; Assumptions'!$Q$41,0,(Z18/Z$13)*(1+'Summary Inputs &amp; Assumptions'!$G39)))</f>
        <v>0</v>
      </c>
      <c r="AB18" s="27">
        <f>IF(AND(AB$6=YEAR('Summary Inputs &amp; Assumptions'!$T$7),AB$5&lt;Debt!$C$3),'Summary Inputs &amp; Assumptions'!AB60*AB$13,IF(AB$5&gt;'Summary Inputs &amp; Assumptions'!$Q$41,0,(AA18/AA$13)*(1+'Summary Inputs &amp; Assumptions'!$G39)))</f>
        <v>0</v>
      </c>
      <c r="AC18" s="27">
        <f>IF(AND(AC$6=YEAR('Summary Inputs &amp; Assumptions'!$T$7),AC$5&lt;Debt!$C$3),'Summary Inputs &amp; Assumptions'!AC60*AC$13,IF(AC$5&gt;'Summary Inputs &amp; Assumptions'!$Q$41,0,(AB18/AB$13)*(1+'Summary Inputs &amp; Assumptions'!$G39)))</f>
        <v>0</v>
      </c>
      <c r="AD18" s="27">
        <f>IF(AND(AD$6=YEAR('Summary Inputs &amp; Assumptions'!$T$7),AD$5&lt;Debt!$C$3),'Summary Inputs &amp; Assumptions'!AD60*AD$13,IF(AD$5&gt;'Summary Inputs &amp; Assumptions'!$Q$41,0,(AC18/AC$13)*(1+'Summary Inputs &amp; Assumptions'!$G39)))</f>
        <v>0</v>
      </c>
      <c r="AE18" s="27">
        <f>IF(AND(AE$6=YEAR('Summary Inputs &amp; Assumptions'!$T$7),AE$5&lt;Debt!$C$3),'Summary Inputs &amp; Assumptions'!AE60*AE$13,IF(AE$5&gt;'Summary Inputs &amp; Assumptions'!$Q$41,0,(AD18/AD$13)*(1+'Summary Inputs &amp; Assumptions'!$G39)))</f>
        <v>0</v>
      </c>
      <c r="AF18" s="27">
        <f>IF(AND(AF$6=YEAR('Summary Inputs &amp; Assumptions'!$T$7),AF$5&lt;Debt!$C$3),'Summary Inputs &amp; Assumptions'!AF60*AF$13,IF(AF$5&gt;'Summary Inputs &amp; Assumptions'!$Q$41,0,(AE18/AE$13)*(1+'Summary Inputs &amp; Assumptions'!$G39)))</f>
        <v>0</v>
      </c>
      <c r="AG18" s="27">
        <f>IF(AND(AG$6=YEAR('Summary Inputs &amp; Assumptions'!$T$7),AG$5&lt;Debt!$C$3),'Summary Inputs &amp; Assumptions'!AG60*AG$13,IF(AG$5&gt;'Summary Inputs &amp; Assumptions'!$Q$41,0,(AF18/AF$13)*(1+'Summary Inputs &amp; Assumptions'!$G39)))</f>
        <v>0</v>
      </c>
    </row>
    <row r="19" spans="2:33" x14ac:dyDescent="0.4">
      <c r="C19" s="1" t="str">
        <f>'Summary Inputs &amp; Assumptions'!B40</f>
        <v>O&amp;M</v>
      </c>
      <c r="D19" s="27">
        <f>IF(AND(D$6=YEAR('Summary Inputs &amp; Assumptions'!$T$7),D$5&lt;Debt!$C$3),'Summary Inputs &amp; Assumptions'!$D$40*D$13,IF(D$5&gt;'Summary Inputs &amp; Assumptions'!$Q$41,0,(C19*(1+'Summary Inputs &amp; Assumptions'!$G40))))</f>
        <v>4109.58904109589</v>
      </c>
      <c r="E19" s="27">
        <f>IF(AND(E$6=YEAR('Summary Inputs &amp; Assumptions'!$T$7),E$5&lt;Debt!$C$3),'Summary Inputs &amp; Assumptions'!E40*E$13,IF(E$5&gt;'Summary Inputs &amp; Assumptions'!$Q$41,0,(D19/D$13)*(1+'Summary Inputs &amp; Assumptions'!$G40)))</f>
        <v>7650</v>
      </c>
      <c r="F19" s="27">
        <f>IF(AND(F$6=YEAR('Summary Inputs &amp; Assumptions'!$T$7),F$5&lt;Debt!$C$3),'Summary Inputs &amp; Assumptions'!F40*F$13,IF(F$5&gt;'Summary Inputs &amp; Assumptions'!$Q$41,0,(E19/E$13)*(1+'Summary Inputs &amp; Assumptions'!$G40)))</f>
        <v>7803</v>
      </c>
      <c r="G19" s="27">
        <f>IF(AND(G$6=YEAR('Summary Inputs &amp; Assumptions'!$T$7),G$5&lt;Debt!$C$3),'Summary Inputs &amp; Assumptions'!G40*G$13,IF(G$5&gt;'Summary Inputs &amp; Assumptions'!$Q$41,0,(F19/F$13)*(1+'Summary Inputs &amp; Assumptions'!$G40)))</f>
        <v>7959.06</v>
      </c>
      <c r="H19" s="27">
        <f>IF(AND(H$6=YEAR('Summary Inputs &amp; Assumptions'!$T$7),H$5&lt;Debt!$C$3),'Summary Inputs &amp; Assumptions'!#REF!*H$13,IF(H$5&gt;'Summary Inputs &amp; Assumptions'!$Q$41,0,(G19/G$13)*(1+'Summary Inputs &amp; Assumptions'!$G40)))</f>
        <v>8118.2412000000004</v>
      </c>
      <c r="I19" s="27">
        <f>IF(AND(I$6=YEAR('Summary Inputs &amp; Assumptions'!$T$7),I$5&lt;Debt!$C$3),'Summary Inputs &amp; Assumptions'!#REF!*I$13,IF(I$5&gt;'Summary Inputs &amp; Assumptions'!$Q$41,0,(H19/H$13)*(1+'Summary Inputs &amp; Assumptions'!$G40)))</f>
        <v>8280.6060240000006</v>
      </c>
      <c r="J19" s="27">
        <f>IF(AND(J$6=YEAR('Summary Inputs &amp; Assumptions'!$T$7),J$5&lt;Debt!$C$3),'Summary Inputs &amp; Assumptions'!#REF!*J$13,IF(J$5&gt;'Summary Inputs &amp; Assumptions'!$Q$41,0,(I19/I$13)*(1+'Summary Inputs &amp; Assumptions'!$G40)))</f>
        <v>8446.2181444800008</v>
      </c>
      <c r="K19" s="27">
        <f>IF(AND(K$6=YEAR('Summary Inputs &amp; Assumptions'!$T$7),K$5&lt;Debt!$C$3),'Summary Inputs &amp; Assumptions'!#REF!*K$13,IF(K$5&gt;'Summary Inputs &amp; Assumptions'!$Q$41,0,(J19/J$13)*(1+'Summary Inputs &amp; Assumptions'!$G40)))</f>
        <v>8615.1425073696009</v>
      </c>
      <c r="L19" s="27">
        <f>IF(AND(L$6=YEAR('Summary Inputs &amp; Assumptions'!$T$7),L$5&lt;Debt!$C$3),'Summary Inputs &amp; Assumptions'!#REF!*L$13,IF(L$5&gt;'Summary Inputs &amp; Assumptions'!$Q$41,0,(K19/K$13)*(1+'Summary Inputs &amp; Assumptions'!$G40)))</f>
        <v>8787.4453575169937</v>
      </c>
      <c r="M19" s="27">
        <f>IF(AND(M$6=YEAR('Summary Inputs &amp; Assumptions'!$T$7),M$5&lt;Debt!$C$3),'Summary Inputs &amp; Assumptions'!#REF!*M$13,IF(M$5&gt;'Summary Inputs &amp; Assumptions'!$Q$41,0,(L19/L$13)*(1+'Summary Inputs &amp; Assumptions'!$G40)))</f>
        <v>8963.1942646673342</v>
      </c>
      <c r="N19" s="27">
        <f>IF(AND(N$6=YEAR('Summary Inputs &amp; Assumptions'!$T$7),N$5&lt;Debt!$C$3),'Summary Inputs &amp; Assumptions'!#REF!*N$13,IF(N$5&gt;'Summary Inputs &amp; Assumptions'!$Q$41,0,(M19/M$13)*(1+'Summary Inputs &amp; Assumptions'!$G40)))</f>
        <v>9142.4581499606811</v>
      </c>
      <c r="O19" s="27">
        <f>IF(AND(O$6=YEAR('Summary Inputs &amp; Assumptions'!$T$7),O$5&lt;Debt!$C$3),'Summary Inputs &amp; Assumptions'!#REF!*O$13,IF(O$5&gt;'Summary Inputs &amp; Assumptions'!$Q$41,0,(N19/N$13)*(1+'Summary Inputs &amp; Assumptions'!$G40)))</f>
        <v>9325.3073129598943</v>
      </c>
      <c r="P19" s="27">
        <f>IF(AND(P$6=YEAR('Summary Inputs &amp; Assumptions'!$T$7),P$5&lt;Debt!$C$3),'Summary Inputs &amp; Assumptions'!#REF!*P$13,IF(P$5&gt;'Summary Inputs &amp; Assumptions'!$Q$41,0,(O19/O$13)*(1+'Summary Inputs &amp; Assumptions'!$G40)))</f>
        <v>9511.8134592190927</v>
      </c>
      <c r="Q19" s="27">
        <f>IF(AND(Q$6=YEAR('Summary Inputs &amp; Assumptions'!$T$7),Q$5&lt;Debt!$C$3),'Summary Inputs &amp; Assumptions'!#REF!*Q$13,IF(Q$5&gt;'Summary Inputs &amp; Assumptions'!$Q$41,0,(P19/P$13)*(1+'Summary Inputs &amp; Assumptions'!$G40)))</f>
        <v>9702.0497284034755</v>
      </c>
      <c r="R19" s="27">
        <f>IF(AND(R$6=YEAR('Summary Inputs &amp; Assumptions'!$T$7),R$5&lt;Debt!$C$3),'Summary Inputs &amp; Assumptions'!#REF!*R$13,IF(R$5&gt;'Summary Inputs &amp; Assumptions'!$Q$41,0,(Q19/Q$13)*(1+'Summary Inputs &amp; Assumptions'!$G40)))</f>
        <v>9896.0907229715449</v>
      </c>
      <c r="S19" s="27">
        <f>IF(AND(S$6=YEAR('Summary Inputs &amp; Assumptions'!$T$7),S$5&lt;Debt!$C$3),'Summary Inputs &amp; Assumptions'!#REF!*S$13,IF(S$5&gt;'Summary Inputs &amp; Assumptions'!$Q$41,0,(R19/R$13)*(1+'Summary Inputs &amp; Assumptions'!$G40)))</f>
        <v>0</v>
      </c>
      <c r="T19" s="27">
        <f>IF(AND(T$6=YEAR('Summary Inputs &amp; Assumptions'!$T$7),T$5&lt;Debt!$C$3),'Summary Inputs &amp; Assumptions'!#REF!*T$13,IF(T$5&gt;'Summary Inputs &amp; Assumptions'!$Q$41,0,(S19/S$13)*(1+'Summary Inputs &amp; Assumptions'!$G40)))</f>
        <v>0</v>
      </c>
      <c r="U19" s="27">
        <f>IF(AND(U$6=YEAR('Summary Inputs &amp; Assumptions'!$T$7),U$5&lt;Debt!$C$3),'Summary Inputs &amp; Assumptions'!#REF!*U$13,IF(U$5&gt;'Summary Inputs &amp; Assumptions'!$Q$41,0,(T19/T$13)*(1+'Summary Inputs &amp; Assumptions'!$G40)))</f>
        <v>0</v>
      </c>
      <c r="V19" s="27">
        <f>IF(AND(V$6=YEAR('Summary Inputs &amp; Assumptions'!$T$7),V$5&lt;Debt!$C$3),'Summary Inputs &amp; Assumptions'!#REF!*V$13,IF(V$5&gt;'Summary Inputs &amp; Assumptions'!$Q$41,0,(U19/U$13)*(1+'Summary Inputs &amp; Assumptions'!$G40)))</f>
        <v>0</v>
      </c>
      <c r="W19" s="27">
        <f>IF(AND(W$6=YEAR('Summary Inputs &amp; Assumptions'!$T$7),W$5&lt;Debt!$C$3),'Summary Inputs &amp; Assumptions'!#REF!*W$13,IF(W$5&gt;'Summary Inputs &amp; Assumptions'!$Q$41,0,(V19/V$13)*(1+'Summary Inputs &amp; Assumptions'!$G40)))</f>
        <v>0</v>
      </c>
      <c r="X19" s="27">
        <f>IF(AND(X$6=YEAR('Summary Inputs &amp; Assumptions'!$T$7),X$5&lt;Debt!$C$3),'Summary Inputs &amp; Assumptions'!#REF!*X$13,IF(X$5&gt;'Summary Inputs &amp; Assumptions'!$Q$41,0,(W19/W$13)*(1+'Summary Inputs &amp; Assumptions'!$G40)))</f>
        <v>0</v>
      </c>
      <c r="Y19" s="27">
        <f>IF(AND(Y$6=YEAR('Summary Inputs &amp; Assumptions'!$T$7),Y$5&lt;Debt!$C$3),'Summary Inputs &amp; Assumptions'!#REF!*Y$13,IF(Y$5&gt;'Summary Inputs &amp; Assumptions'!$Q$41,0,(X19/X$13)*(1+'Summary Inputs &amp; Assumptions'!$G40)))</f>
        <v>0</v>
      </c>
      <c r="Z19" s="27">
        <f>IF(AND(Z$6=YEAR('Summary Inputs &amp; Assumptions'!$T$7),Z$5&lt;Debt!$C$3),'Summary Inputs &amp; Assumptions'!#REF!*Z$13,IF(Z$5&gt;'Summary Inputs &amp; Assumptions'!$Q$41,0,(Y19/Y$13)*(1+'Summary Inputs &amp; Assumptions'!$G40)))</f>
        <v>0</v>
      </c>
      <c r="AA19" s="27">
        <f>IF(AND(AA$6=YEAR('Summary Inputs &amp; Assumptions'!$T$7),AA$5&lt;Debt!$C$3),'Summary Inputs &amp; Assumptions'!#REF!*AA$13,IF(AA$5&gt;'Summary Inputs &amp; Assumptions'!$Q$41,0,(Z19/Z$13)*(1+'Summary Inputs &amp; Assumptions'!$G40)))</f>
        <v>0</v>
      </c>
      <c r="AB19" s="27">
        <f>IF(AND(AB$6=YEAR('Summary Inputs &amp; Assumptions'!$T$7),AB$5&lt;Debt!$C$3),'Summary Inputs &amp; Assumptions'!#REF!*AB$13,IF(AB$5&gt;'Summary Inputs &amp; Assumptions'!$Q$41,0,(AA19/AA$13)*(1+'Summary Inputs &amp; Assumptions'!$G40)))</f>
        <v>0</v>
      </c>
      <c r="AC19" s="27">
        <f>IF(AND(AC$6=YEAR('Summary Inputs &amp; Assumptions'!$T$7),AC$5&lt;Debt!$C$3),'Summary Inputs &amp; Assumptions'!#REF!*AC$13,IF(AC$5&gt;'Summary Inputs &amp; Assumptions'!$Q$41,0,(AB19/AB$13)*(1+'Summary Inputs &amp; Assumptions'!$G40)))</f>
        <v>0</v>
      </c>
      <c r="AD19" s="27">
        <f>IF(AND(AD$6=YEAR('Summary Inputs &amp; Assumptions'!$T$7),AD$5&lt;Debt!$C$3),'Summary Inputs &amp; Assumptions'!#REF!*AD$13,IF(AD$5&gt;'Summary Inputs &amp; Assumptions'!$Q$41,0,(AC19/AC$13)*(1+'Summary Inputs &amp; Assumptions'!$G40)))</f>
        <v>0</v>
      </c>
      <c r="AE19" s="27">
        <f>IF(AND(AE$6=YEAR('Summary Inputs &amp; Assumptions'!$T$7),AE$5&lt;Debt!$C$3),'Summary Inputs &amp; Assumptions'!#REF!*AE$13,IF(AE$5&gt;'Summary Inputs &amp; Assumptions'!$Q$41,0,(AD19/AD$13)*(1+'Summary Inputs &amp; Assumptions'!$G40)))</f>
        <v>0</v>
      </c>
      <c r="AF19" s="27">
        <f>IF(AND(AF$6=YEAR('Summary Inputs &amp; Assumptions'!$T$7),AF$5&lt;Debt!$C$3),'Summary Inputs &amp; Assumptions'!#REF!*AF$13,IF(AF$5&gt;'Summary Inputs &amp; Assumptions'!$Q$41,0,(AE19/AE$13)*(1+'Summary Inputs &amp; Assumptions'!$G40)))</f>
        <v>0</v>
      </c>
      <c r="AG19" s="27">
        <f>IF(AND(AG$6=YEAR('Summary Inputs &amp; Assumptions'!$T$7),AG$5&lt;Debt!$C$3),'Summary Inputs &amp; Assumptions'!#REF!*AG$13,IF(AG$5&gt;'Summary Inputs &amp; Assumptions'!$Q$41,0,(AF19/AF$13)*(1+'Summary Inputs &amp; Assumptions'!$G40)))</f>
        <v>0</v>
      </c>
    </row>
    <row r="20" spans="2:33" x14ac:dyDescent="0.4">
      <c r="C20" s="1" t="str">
        <f>'Summary Inputs &amp; Assumptions'!B41</f>
        <v xml:space="preserve">Site Lease </v>
      </c>
      <c r="D20" s="27">
        <f>IF(AND(D$6=YEAR('Summary Inputs &amp; Assumptions'!$T$7),D$5&lt;Debt!$C$3),'Summary Inputs &amp; Assumptions'!$D$41*D$13,IF(D$5&gt;'Summary Inputs &amp; Assumptions'!$Q$41,0,(C20*(1+'Summary Inputs &amp; Assumptions'!$G41))))</f>
        <v>5205.4794520547939</v>
      </c>
      <c r="E20" s="27">
        <f>IF(AND(E$6=YEAR('Summary Inputs &amp; Assumptions'!$T$7),E$5&lt;Debt!$C$3),'Summary Inputs &amp; Assumptions'!E41*E$13,IF(E$5&gt;'Summary Inputs &amp; Assumptions'!$Q$41,0,(D20/D$13)*(1+'Summary Inputs &amp; Assumptions'!$G41)))</f>
        <v>9690</v>
      </c>
      <c r="F20" s="27">
        <f>IF(AND(F$6=YEAR('Summary Inputs &amp; Assumptions'!$T$7),F$5&lt;Debt!$C$3),'Summary Inputs &amp; Assumptions'!F41*F$13,IF(F$5&gt;'Summary Inputs &amp; Assumptions'!$Q$41,0,(E20/E$13)*(1+'Summary Inputs &amp; Assumptions'!$G41)))</f>
        <v>9883.7999999999993</v>
      </c>
      <c r="G20" s="27">
        <f>IF(AND(G$6=YEAR('Summary Inputs &amp; Assumptions'!$T$7),G$5&lt;Debt!$C$3),'Summary Inputs &amp; Assumptions'!G41*G$13,IF(G$5&gt;'Summary Inputs &amp; Assumptions'!$Q$41,0,(F20/F$13)*(1+'Summary Inputs &amp; Assumptions'!$G41)))</f>
        <v>10081.475999999999</v>
      </c>
      <c r="H20" s="27">
        <f>IF(AND(H$6=YEAR('Summary Inputs &amp; Assumptions'!$T$7),H$5&lt;Debt!$C$3),'Summary Inputs &amp; Assumptions'!#REF!*H$13,IF(H$5&gt;'Summary Inputs &amp; Assumptions'!$Q$41,0,(G20/G$13)*(1+'Summary Inputs &amp; Assumptions'!$G41)))</f>
        <v>10283.105519999999</v>
      </c>
      <c r="I20" s="27">
        <f>IF(AND(I$6=YEAR('Summary Inputs &amp; Assumptions'!$T$7),I$5&lt;Debt!$C$3),'Summary Inputs &amp; Assumptions'!#REF!*I$13,IF(I$5&gt;'Summary Inputs &amp; Assumptions'!$Q$41,0,(H20/H$13)*(1+'Summary Inputs &amp; Assumptions'!$G41)))</f>
        <v>10488.7676304</v>
      </c>
      <c r="J20" s="27">
        <f>IF(AND(J$6=YEAR('Summary Inputs &amp; Assumptions'!$T$7),J$5&lt;Debt!$C$3),'Summary Inputs &amp; Assumptions'!#REF!*J$13,IF(J$5&gt;'Summary Inputs &amp; Assumptions'!$Q$41,0,(I20/I$13)*(1+'Summary Inputs &amp; Assumptions'!$G41)))</f>
        <v>10698.542983007999</v>
      </c>
      <c r="K20" s="27">
        <f>IF(AND(K$6=YEAR('Summary Inputs &amp; Assumptions'!$T$7),K$5&lt;Debt!$C$3),'Summary Inputs &amp; Assumptions'!#REF!*K$13,IF(K$5&gt;'Summary Inputs &amp; Assumptions'!$Q$41,0,(J20/J$13)*(1+'Summary Inputs &amp; Assumptions'!$G41)))</f>
        <v>10912.513842668159</v>
      </c>
      <c r="L20" s="27">
        <f>IF(AND(L$6=YEAR('Summary Inputs &amp; Assumptions'!$T$7),L$5&lt;Debt!$C$3),'Summary Inputs &amp; Assumptions'!#REF!*L$13,IF(L$5&gt;'Summary Inputs &amp; Assumptions'!$Q$41,0,(K20/K$13)*(1+'Summary Inputs &amp; Assumptions'!$G41)))</f>
        <v>11130.764119521522</v>
      </c>
      <c r="M20" s="27">
        <f>IF(AND(M$6=YEAR('Summary Inputs &amp; Assumptions'!$T$7),M$5&lt;Debt!$C$3),'Summary Inputs &amp; Assumptions'!#REF!*M$13,IF(M$5&gt;'Summary Inputs &amp; Assumptions'!$Q$41,0,(L20/L$13)*(1+'Summary Inputs &amp; Assumptions'!$G41)))</f>
        <v>11353.379401911952</v>
      </c>
      <c r="N20" s="27">
        <f>IF(AND(N$6=YEAR('Summary Inputs &amp; Assumptions'!$T$7),N$5&lt;Debt!$C$3),'Summary Inputs &amp; Assumptions'!#REF!*N$13,IF(N$5&gt;'Summary Inputs &amp; Assumptions'!$Q$41,0,(M20/M$13)*(1+'Summary Inputs &amp; Assumptions'!$G41)))</f>
        <v>11580.446989950191</v>
      </c>
      <c r="O20" s="27">
        <f>IF(AND(O$6=YEAR('Summary Inputs &amp; Assumptions'!$T$7),O$5&lt;Debt!$C$3),'Summary Inputs &amp; Assumptions'!#REF!*O$13,IF(O$5&gt;'Summary Inputs &amp; Assumptions'!$Q$41,0,(N20/N$13)*(1+'Summary Inputs &amp; Assumptions'!$G41)))</f>
        <v>11812.055929749195</v>
      </c>
      <c r="P20" s="27">
        <f>IF(AND(P$6=YEAR('Summary Inputs &amp; Assumptions'!$T$7),P$5&lt;Debt!$C$3),'Summary Inputs &amp; Assumptions'!#REF!*P$13,IF(P$5&gt;'Summary Inputs &amp; Assumptions'!$Q$41,0,(O20/O$13)*(1+'Summary Inputs &amp; Assumptions'!$G41)))</f>
        <v>12048.297048344179</v>
      </c>
      <c r="Q20" s="27">
        <f>IF(AND(Q$6=YEAR('Summary Inputs &amp; Assumptions'!$T$7),Q$5&lt;Debt!$C$3),'Summary Inputs &amp; Assumptions'!#REF!*Q$13,IF(Q$5&gt;'Summary Inputs &amp; Assumptions'!$Q$41,0,(P20/P$13)*(1+'Summary Inputs &amp; Assumptions'!$G41)))</f>
        <v>12289.262989311062</v>
      </c>
      <c r="R20" s="27">
        <f>IF(AND(R$6=YEAR('Summary Inputs &amp; Assumptions'!$T$7),R$5&lt;Debt!$C$3),'Summary Inputs &amp; Assumptions'!#REF!*R$13,IF(R$5&gt;'Summary Inputs &amp; Assumptions'!$Q$41,0,(Q20/Q$13)*(1+'Summary Inputs &amp; Assumptions'!$G41)))</f>
        <v>12535.048249097284</v>
      </c>
      <c r="S20" s="27">
        <f>IF(AND(S$6=YEAR('Summary Inputs &amp; Assumptions'!$T$7),S$5&lt;Debt!$C$3),'Summary Inputs &amp; Assumptions'!#REF!*S$13,IF(S$5&gt;'Summary Inputs &amp; Assumptions'!$Q$41,0,(R20/R$13)*(1+'Summary Inputs &amp; Assumptions'!$G41)))</f>
        <v>0</v>
      </c>
      <c r="T20" s="27">
        <f>IF(AND(T$6=YEAR('Summary Inputs &amp; Assumptions'!$T$7),T$5&lt;Debt!$C$3),'Summary Inputs &amp; Assumptions'!#REF!*T$13,IF(T$5&gt;'Summary Inputs &amp; Assumptions'!$Q$41,0,(S20/S$13)*(1+'Summary Inputs &amp; Assumptions'!$G41)))</f>
        <v>0</v>
      </c>
      <c r="U20" s="27">
        <f>IF(AND(U$6=YEAR('Summary Inputs &amp; Assumptions'!$T$7),U$5&lt;Debt!$C$3),'Summary Inputs &amp; Assumptions'!#REF!*U$13,IF(U$5&gt;'Summary Inputs &amp; Assumptions'!$Q$41,0,(T20/T$13)*(1+'Summary Inputs &amp; Assumptions'!$G41)))</f>
        <v>0</v>
      </c>
      <c r="V20" s="27">
        <f>IF(AND(V$6=YEAR('Summary Inputs &amp; Assumptions'!$T$7),V$5&lt;Debt!$C$3),'Summary Inputs &amp; Assumptions'!#REF!*V$13,IF(V$5&gt;'Summary Inputs &amp; Assumptions'!$Q$41,0,(U20/U$13)*(1+'Summary Inputs &amp; Assumptions'!$G41)))</f>
        <v>0</v>
      </c>
      <c r="W20" s="27">
        <f>IF(AND(W$6=YEAR('Summary Inputs &amp; Assumptions'!$T$7),W$5&lt;Debt!$C$3),'Summary Inputs &amp; Assumptions'!#REF!*W$13,IF(W$5&gt;'Summary Inputs &amp; Assumptions'!$Q$41,0,(V20/V$13)*(1+'Summary Inputs &amp; Assumptions'!$G41)))</f>
        <v>0</v>
      </c>
      <c r="X20" s="27">
        <f>IF(AND(X$6=YEAR('Summary Inputs &amp; Assumptions'!$T$7),X$5&lt;Debt!$C$3),'Summary Inputs &amp; Assumptions'!#REF!*X$13,IF(X$5&gt;'Summary Inputs &amp; Assumptions'!$Q$41,0,(W20/W$13)*(1+'Summary Inputs &amp; Assumptions'!$G41)))</f>
        <v>0</v>
      </c>
      <c r="Y20" s="27">
        <f>IF(AND(Y$6=YEAR('Summary Inputs &amp; Assumptions'!$T$7),Y$5&lt;Debt!$C$3),'Summary Inputs &amp; Assumptions'!#REF!*Y$13,IF(Y$5&gt;'Summary Inputs &amp; Assumptions'!$Q$41,0,(X20/X$13)*(1+'Summary Inputs &amp; Assumptions'!$G41)))</f>
        <v>0</v>
      </c>
      <c r="Z20" s="27">
        <f>IF(AND(Z$6=YEAR('Summary Inputs &amp; Assumptions'!$T$7),Z$5&lt;Debt!$C$3),'Summary Inputs &amp; Assumptions'!#REF!*Z$13,IF(Z$5&gt;'Summary Inputs &amp; Assumptions'!$Q$41,0,(Y20/Y$13)*(1+'Summary Inputs &amp; Assumptions'!$G41)))</f>
        <v>0</v>
      </c>
      <c r="AA20" s="27">
        <f>IF(AND(AA$6=YEAR('Summary Inputs &amp; Assumptions'!$T$7),AA$5&lt;Debt!$C$3),'Summary Inputs &amp; Assumptions'!#REF!*AA$13,IF(AA$5&gt;'Summary Inputs &amp; Assumptions'!$Q$41,0,(Z20/Z$13)*(1+'Summary Inputs &amp; Assumptions'!$G41)))</f>
        <v>0</v>
      </c>
      <c r="AB20" s="27">
        <f>IF(AND(AB$6=YEAR('Summary Inputs &amp; Assumptions'!$T$7),AB$5&lt;Debt!$C$3),'Summary Inputs &amp; Assumptions'!#REF!*AB$13,IF(AB$5&gt;'Summary Inputs &amp; Assumptions'!$Q$41,0,(AA20/AA$13)*(1+'Summary Inputs &amp; Assumptions'!$G41)))</f>
        <v>0</v>
      </c>
      <c r="AC20" s="27">
        <f>IF(AND(AC$6=YEAR('Summary Inputs &amp; Assumptions'!$T$7),AC$5&lt;Debt!$C$3),'Summary Inputs &amp; Assumptions'!#REF!*AC$13,IF(AC$5&gt;'Summary Inputs &amp; Assumptions'!$Q$41,0,(AB20/AB$13)*(1+'Summary Inputs &amp; Assumptions'!$G41)))</f>
        <v>0</v>
      </c>
      <c r="AD20" s="27">
        <f>IF(AND(AD$6=YEAR('Summary Inputs &amp; Assumptions'!$T$7),AD$5&lt;Debt!$C$3),'Summary Inputs &amp; Assumptions'!#REF!*AD$13,IF(AD$5&gt;'Summary Inputs &amp; Assumptions'!$Q$41,0,(AC20/AC$13)*(1+'Summary Inputs &amp; Assumptions'!$G41)))</f>
        <v>0</v>
      </c>
      <c r="AE20" s="27">
        <f>IF(AND(AE$6=YEAR('Summary Inputs &amp; Assumptions'!$T$7),AE$5&lt;Debt!$C$3),'Summary Inputs &amp; Assumptions'!#REF!*AE$13,IF(AE$5&gt;'Summary Inputs &amp; Assumptions'!$Q$41,0,(AD20/AD$13)*(1+'Summary Inputs &amp; Assumptions'!$G41)))</f>
        <v>0</v>
      </c>
      <c r="AF20" s="27">
        <f>IF(AND(AF$6=YEAR('Summary Inputs &amp; Assumptions'!$T$7),AF$5&lt;Debt!$C$3),'Summary Inputs &amp; Assumptions'!#REF!*AF$13,IF(AF$5&gt;'Summary Inputs &amp; Assumptions'!$Q$41,0,(AE20/AE$13)*(1+'Summary Inputs &amp; Assumptions'!$G41)))</f>
        <v>0</v>
      </c>
      <c r="AG20" s="27">
        <f>IF(AND(AG$6=YEAR('Summary Inputs &amp; Assumptions'!$T$7),AG$5&lt;Debt!$C$3),'Summary Inputs &amp; Assumptions'!#REF!*AG$13,IF(AG$5&gt;'Summary Inputs &amp; Assumptions'!$Q$41,0,(AF20/AF$13)*(1+'Summary Inputs &amp; Assumptions'!$G41)))</f>
        <v>0</v>
      </c>
    </row>
    <row r="21" spans="2:33" x14ac:dyDescent="0.4">
      <c r="C21" s="1" t="str">
        <f>'Summary Inputs &amp; Assumptions'!B42</f>
        <v>Property Tax</v>
      </c>
      <c r="D21" s="27">
        <f>IF(AND(D$6=YEAR('Summary Inputs &amp; Assumptions'!$T$7),D$5&lt;Debt!$C$3),'Summary Inputs &amp; Assumptions'!$D$42*D$13,IF(D$5&gt;'Summary Inputs &amp; Assumptions'!$Q$41,0,(C21*(1+'Summary Inputs &amp; Assumptions'!$G42))))</f>
        <v>3287.6712328767121</v>
      </c>
      <c r="E21" s="27">
        <f>IF(AND(E$6=YEAR('Summary Inputs &amp; Assumptions'!$T$7),E$5&lt;Debt!$C$3),'Summary Inputs &amp; Assumptions'!E42*E$13,IF(E$5&gt;'Summary Inputs &amp; Assumptions'!$Q$41,0,(D21/D$13)*(1+'Summary Inputs &amp; Assumptions'!$G42)))</f>
        <v>6000</v>
      </c>
      <c r="F21" s="27">
        <f>IF(AND(F$6=YEAR('Summary Inputs &amp; Assumptions'!$T$7),F$5&lt;Debt!$C$3),'Summary Inputs &amp; Assumptions'!F42*F$13,IF(F$5&gt;'Summary Inputs &amp; Assumptions'!$Q$41,0,(E21/E$13)*(1+'Summary Inputs &amp; Assumptions'!$G42)))</f>
        <v>6000</v>
      </c>
      <c r="G21" s="27">
        <f>IF(AND(G$6=YEAR('Summary Inputs &amp; Assumptions'!$T$7),G$5&lt;Debt!$C$3),'Summary Inputs &amp; Assumptions'!G42*G$13,IF(G$5&gt;'Summary Inputs &amp; Assumptions'!$Q$41,0,(F21/F$13)*(1+'Summary Inputs &amp; Assumptions'!$G42)))</f>
        <v>6000</v>
      </c>
      <c r="H21" s="27">
        <f>IF(AND(H$6=YEAR('Summary Inputs &amp; Assumptions'!$T$7),H$5&lt;Debt!$C$3),'Summary Inputs &amp; Assumptions'!#REF!*H$13,IF(H$5&gt;'Summary Inputs &amp; Assumptions'!$Q$41,0,(G21/G$13)*(1+'Summary Inputs &amp; Assumptions'!$G42)))</f>
        <v>6000</v>
      </c>
      <c r="I21" s="27">
        <f>IF(AND(I$6=YEAR('Summary Inputs &amp; Assumptions'!$T$7),I$5&lt;Debt!$C$3),'Summary Inputs &amp; Assumptions'!#REF!*I$13,IF(I$5&gt;'Summary Inputs &amp; Assumptions'!$Q$41,0,(H21/H$13)*(1+'Summary Inputs &amp; Assumptions'!$G42)))</f>
        <v>6000</v>
      </c>
      <c r="J21" s="27">
        <f>IF(AND(J$6=YEAR('Summary Inputs &amp; Assumptions'!$T$7),J$5&lt;Debt!$C$3),'Summary Inputs &amp; Assumptions'!#REF!*J$13,IF(J$5&gt;'Summary Inputs &amp; Assumptions'!$Q$41,0,(I21/I$13)*(1+'Summary Inputs &amp; Assumptions'!$G42)))</f>
        <v>6000</v>
      </c>
      <c r="K21" s="27">
        <f>IF(AND(K$6=YEAR('Summary Inputs &amp; Assumptions'!$T$7),K$5&lt;Debt!$C$3),'Summary Inputs &amp; Assumptions'!#REF!*K$13,IF(K$5&gt;'Summary Inputs &amp; Assumptions'!$Q$41,0,(J21/J$13)*(1+'Summary Inputs &amp; Assumptions'!$G42)))</f>
        <v>6000</v>
      </c>
      <c r="L21" s="27">
        <f>IF(AND(L$6=YEAR('Summary Inputs &amp; Assumptions'!$T$7),L$5&lt;Debt!$C$3),'Summary Inputs &amp; Assumptions'!#REF!*L$13,IF(L$5&gt;'Summary Inputs &amp; Assumptions'!$Q$41,0,(K21/K$13)*(1+'Summary Inputs &amp; Assumptions'!$G42)))</f>
        <v>6000</v>
      </c>
      <c r="M21" s="27">
        <f>IF(AND(M$6=YEAR('Summary Inputs &amp; Assumptions'!$T$7),M$5&lt;Debt!$C$3),'Summary Inputs &amp; Assumptions'!#REF!*M$13,IF(M$5&gt;'Summary Inputs &amp; Assumptions'!$Q$41,0,(L21/L$13)*(1+'Summary Inputs &amp; Assumptions'!$G42)))</f>
        <v>6000</v>
      </c>
      <c r="N21" s="27">
        <f>IF(AND(N$6=YEAR('Summary Inputs &amp; Assumptions'!$T$7),N$5&lt;Debt!$C$3),'Summary Inputs &amp; Assumptions'!#REF!*N$13,IF(N$5&gt;'Summary Inputs &amp; Assumptions'!$Q$41,0,(M21/M$13)*(1+'Summary Inputs &amp; Assumptions'!$G42)))</f>
        <v>6000</v>
      </c>
      <c r="O21" s="27">
        <f>IF(AND(O$6=YEAR('Summary Inputs &amp; Assumptions'!$T$7),O$5&lt;Debt!$C$3),'Summary Inputs &amp; Assumptions'!#REF!*O$13,IF(O$5&gt;'Summary Inputs &amp; Assumptions'!$Q$41,0,(N21/N$13)*(1+'Summary Inputs &amp; Assumptions'!$G42)))</f>
        <v>6000</v>
      </c>
      <c r="P21" s="27">
        <f>IF(AND(P$6=YEAR('Summary Inputs &amp; Assumptions'!$T$7),P$5&lt;Debt!$C$3),'Summary Inputs &amp; Assumptions'!#REF!*P$13,IF(P$5&gt;'Summary Inputs &amp; Assumptions'!$Q$41,0,(O21/O$13)*(1+'Summary Inputs &amp; Assumptions'!$G42)))</f>
        <v>6000</v>
      </c>
      <c r="Q21" s="27">
        <f>IF(AND(Q$6=YEAR('Summary Inputs &amp; Assumptions'!$T$7),Q$5&lt;Debt!$C$3),'Summary Inputs &amp; Assumptions'!#REF!*Q$13,IF(Q$5&gt;'Summary Inputs &amp; Assumptions'!$Q$41,0,(P21/P$13)*(1+'Summary Inputs &amp; Assumptions'!$G42)))</f>
        <v>6000</v>
      </c>
      <c r="R21" s="27">
        <f>IF(AND(R$6=YEAR('Summary Inputs &amp; Assumptions'!$T$7),R$5&lt;Debt!$C$3),'Summary Inputs &amp; Assumptions'!#REF!*R$13,IF(R$5&gt;'Summary Inputs &amp; Assumptions'!$Q$41,0,(Q21/Q$13)*(1+'Summary Inputs &amp; Assumptions'!$G42)))</f>
        <v>6000</v>
      </c>
      <c r="S21" s="27">
        <f>IF(AND(S$6=YEAR('Summary Inputs &amp; Assumptions'!$T$7),S$5&lt;Debt!$C$3),'Summary Inputs &amp; Assumptions'!#REF!*S$13,IF(S$5&gt;'Summary Inputs &amp; Assumptions'!$Q$41,0,(R21/R$13)*(1+'Summary Inputs &amp; Assumptions'!$G42)))</f>
        <v>0</v>
      </c>
      <c r="T21" s="27">
        <f>IF(AND(T$6=YEAR('Summary Inputs &amp; Assumptions'!$T$7),T$5&lt;Debt!$C$3),'Summary Inputs &amp; Assumptions'!#REF!*T$13,IF(T$5&gt;'Summary Inputs &amp; Assumptions'!$Q$41,0,(S21/S$13)*(1+'Summary Inputs &amp; Assumptions'!$G42)))</f>
        <v>0</v>
      </c>
      <c r="U21" s="27">
        <f>IF(AND(U$6=YEAR('Summary Inputs &amp; Assumptions'!$T$7),U$5&lt;Debt!$C$3),'Summary Inputs &amp; Assumptions'!#REF!*U$13,IF(U$5&gt;'Summary Inputs &amp; Assumptions'!$Q$41,0,(T21/T$13)*(1+'Summary Inputs &amp; Assumptions'!$G42)))</f>
        <v>0</v>
      </c>
      <c r="V21" s="27">
        <f>IF(AND(V$6=YEAR('Summary Inputs &amp; Assumptions'!$T$7),V$5&lt;Debt!$C$3),'Summary Inputs &amp; Assumptions'!#REF!*V$13,IF(V$5&gt;'Summary Inputs &amp; Assumptions'!$Q$41,0,(U21/U$13)*(1+'Summary Inputs &amp; Assumptions'!$G42)))</f>
        <v>0</v>
      </c>
      <c r="W21" s="27">
        <f>IF(AND(W$6=YEAR('Summary Inputs &amp; Assumptions'!$T$7),W$5&lt;Debt!$C$3),'Summary Inputs &amp; Assumptions'!#REF!*W$13,IF(W$5&gt;'Summary Inputs &amp; Assumptions'!$Q$41,0,(V21/V$13)*(1+'Summary Inputs &amp; Assumptions'!$G42)))</f>
        <v>0</v>
      </c>
      <c r="X21" s="27">
        <f>IF(AND(X$6=YEAR('Summary Inputs &amp; Assumptions'!$T$7),X$5&lt;Debt!$C$3),'Summary Inputs &amp; Assumptions'!#REF!*X$13,IF(X$5&gt;'Summary Inputs &amp; Assumptions'!$Q$41,0,(W21/W$13)*(1+'Summary Inputs &amp; Assumptions'!$G42)))</f>
        <v>0</v>
      </c>
      <c r="Y21" s="27">
        <f>IF(AND(Y$6=YEAR('Summary Inputs &amp; Assumptions'!$T$7),Y$5&lt;Debt!$C$3),'Summary Inputs &amp; Assumptions'!#REF!*Y$13,IF(Y$5&gt;'Summary Inputs &amp; Assumptions'!$Q$41,0,(X21/X$13)*(1+'Summary Inputs &amp; Assumptions'!$G42)))</f>
        <v>0</v>
      </c>
      <c r="Z21" s="27">
        <f>IF(AND(Z$6=YEAR('Summary Inputs &amp; Assumptions'!$T$7),Z$5&lt;Debt!$C$3),'Summary Inputs &amp; Assumptions'!#REF!*Z$13,IF(Z$5&gt;'Summary Inputs &amp; Assumptions'!$Q$41,0,(Y21/Y$13)*(1+'Summary Inputs &amp; Assumptions'!$G42)))</f>
        <v>0</v>
      </c>
      <c r="AA21" s="27">
        <f>IF(AND(AA$6=YEAR('Summary Inputs &amp; Assumptions'!$T$7),AA$5&lt;Debt!$C$3),'Summary Inputs &amp; Assumptions'!#REF!*AA$13,IF(AA$5&gt;'Summary Inputs &amp; Assumptions'!$Q$41,0,(Z21/Z$13)*(1+'Summary Inputs &amp; Assumptions'!$G42)))</f>
        <v>0</v>
      </c>
      <c r="AB21" s="27">
        <f>IF(AND(AB$6=YEAR('Summary Inputs &amp; Assumptions'!$T$7),AB$5&lt;Debt!$C$3),'Summary Inputs &amp; Assumptions'!#REF!*AB$13,IF(AB$5&gt;'Summary Inputs &amp; Assumptions'!$Q$41,0,(AA21/AA$13)*(1+'Summary Inputs &amp; Assumptions'!$G42)))</f>
        <v>0</v>
      </c>
      <c r="AC21" s="27">
        <f>IF(AND(AC$6=YEAR('Summary Inputs &amp; Assumptions'!$T$7),AC$5&lt;Debt!$C$3),'Summary Inputs &amp; Assumptions'!#REF!*AC$13,IF(AC$5&gt;'Summary Inputs &amp; Assumptions'!$Q$41,0,(AB21/AB$13)*(1+'Summary Inputs &amp; Assumptions'!$G42)))</f>
        <v>0</v>
      </c>
      <c r="AD21" s="27">
        <f>IF(AND(AD$6=YEAR('Summary Inputs &amp; Assumptions'!$T$7),AD$5&lt;Debt!$C$3),'Summary Inputs &amp; Assumptions'!#REF!*AD$13,IF(AD$5&gt;'Summary Inputs &amp; Assumptions'!$Q$41,0,(AC21/AC$13)*(1+'Summary Inputs &amp; Assumptions'!$G42)))</f>
        <v>0</v>
      </c>
      <c r="AE21" s="27">
        <f>IF(AND(AE$6=YEAR('Summary Inputs &amp; Assumptions'!$T$7),AE$5&lt;Debt!$C$3),'Summary Inputs &amp; Assumptions'!#REF!*AE$13,IF(AE$5&gt;'Summary Inputs &amp; Assumptions'!$Q$41,0,(AD21/AD$13)*(1+'Summary Inputs &amp; Assumptions'!$G42)))</f>
        <v>0</v>
      </c>
      <c r="AF21" s="27">
        <f>IF(AND(AF$6=YEAR('Summary Inputs &amp; Assumptions'!$T$7),AF$5&lt;Debt!$C$3),'Summary Inputs &amp; Assumptions'!#REF!*AF$13,IF(AF$5&gt;'Summary Inputs &amp; Assumptions'!$Q$41,0,(AE21/AE$13)*(1+'Summary Inputs &amp; Assumptions'!$G42)))</f>
        <v>0</v>
      </c>
      <c r="AG21" s="27">
        <f>IF(AND(AG$6=YEAR('Summary Inputs &amp; Assumptions'!$T$7),AG$5&lt;Debt!$C$3),'Summary Inputs &amp; Assumptions'!#REF!*AG$13,IF(AG$5&gt;'Summary Inputs &amp; Assumptions'!$Q$41,0,(AF21/AF$13)*(1+'Summary Inputs &amp; Assumptions'!$G42)))</f>
        <v>0</v>
      </c>
    </row>
    <row r="22" spans="2:33" x14ac:dyDescent="0.4">
      <c r="C22" s="1" t="str">
        <f>'Summary Inputs &amp; Assumptions'!B43</f>
        <v>Asset Management</v>
      </c>
      <c r="D22" s="27">
        <f>IF(AND(D$6=YEAR('Summary Inputs &amp; Assumptions'!$T$7),D$5&lt;Debt!$C$3),'Summary Inputs &amp; Assumptions'!$D$43*D$13,IF(D$5&gt;Amortization_period,0,(C22*(1+'Summary Inputs &amp; Assumptions'!$G43))))</f>
        <v>2739.7260273972602</v>
      </c>
      <c r="E22" s="27">
        <f>IF(AND(E$6=YEAR('Summary Inputs &amp; Assumptions'!$T$7),E$5&lt;Debt!$C$3),'Summary Inputs &amp; Assumptions'!E43*E$13,IF(E$5&gt;'Summary Inputs &amp; Assumptions'!$Q$41,0,(D22/D$13)*(1+'Summary Inputs &amp; Assumptions'!$G43)))</f>
        <v>5000</v>
      </c>
      <c r="F22" s="27">
        <f>IF(AND(F$6=YEAR('Summary Inputs &amp; Assumptions'!$T$7),F$5&lt;Debt!$C$3),'Summary Inputs &amp; Assumptions'!F43*F$13,IF(F$5&gt;'Summary Inputs &amp; Assumptions'!$Q$41,0,(E22/E$13)*(1+'Summary Inputs &amp; Assumptions'!$G43)))</f>
        <v>5000</v>
      </c>
      <c r="G22" s="27">
        <f>IF(AND(G$6=YEAR('Summary Inputs &amp; Assumptions'!$T$7),G$5&lt;Debt!$C$3),'Summary Inputs &amp; Assumptions'!G43*G$13,IF(G$5&gt;'Summary Inputs &amp; Assumptions'!$Q$41,0,(F22/F$13)*(1+'Summary Inputs &amp; Assumptions'!$G43)))</f>
        <v>5000</v>
      </c>
      <c r="H22" s="27">
        <f>IF(AND(H$6=YEAR('Summary Inputs &amp; Assumptions'!$T$7),H$5&lt;Debt!$C$3),'Summary Inputs &amp; Assumptions'!#REF!*H$13,IF(H$5&gt;'Summary Inputs &amp; Assumptions'!$Q$41,0,(G22/G$13)*(1+'Summary Inputs &amp; Assumptions'!$G43)))</f>
        <v>5000</v>
      </c>
      <c r="I22" s="27">
        <f>IF(AND(I$6=YEAR('Summary Inputs &amp; Assumptions'!$T$7),I$5&lt;Debt!$C$3),'Summary Inputs &amp; Assumptions'!#REF!*I$13,IF(I$5&gt;'Summary Inputs &amp; Assumptions'!$Q$41,0,(H22/H$13)*(1+'Summary Inputs &amp; Assumptions'!$G43)))</f>
        <v>5000</v>
      </c>
      <c r="J22" s="27">
        <f>IF(AND(J$6=YEAR('Summary Inputs &amp; Assumptions'!$T$7),J$5&lt;Debt!$C$3),'Summary Inputs &amp; Assumptions'!#REF!*J$13,IF(J$5&gt;'Summary Inputs &amp; Assumptions'!$Q$41,0,(I22/I$13)*(1+'Summary Inputs &amp; Assumptions'!$G43)))</f>
        <v>5000</v>
      </c>
      <c r="K22" s="27">
        <f>IF(AND(K$6=YEAR('Summary Inputs &amp; Assumptions'!$T$7),K$5&lt;Debt!$C$3),'Summary Inputs &amp; Assumptions'!#REF!*K$13,IF(K$5&gt;'Summary Inputs &amp; Assumptions'!$Q$41,0,(J22/J$13)*(1+'Summary Inputs &amp; Assumptions'!$G43)))</f>
        <v>5000</v>
      </c>
      <c r="L22" s="27">
        <f>IF(AND(L$6=YEAR('Summary Inputs &amp; Assumptions'!$T$7),L$5&lt;Debt!$C$3),'Summary Inputs &amp; Assumptions'!#REF!*L$13,IF(L$5&gt;'Summary Inputs &amp; Assumptions'!$Q$41,0,(K22/K$13)*(1+'Summary Inputs &amp; Assumptions'!$G43)))</f>
        <v>5000</v>
      </c>
      <c r="M22" s="27">
        <f>IF(AND(M$6=YEAR('Summary Inputs &amp; Assumptions'!$T$7),M$5&lt;Debt!$C$3),'Summary Inputs &amp; Assumptions'!#REF!*M$13,IF(M$5&gt;'Summary Inputs &amp; Assumptions'!$Q$41,0,(L22/L$13)*(1+'Summary Inputs &amp; Assumptions'!$G43)))</f>
        <v>5000</v>
      </c>
      <c r="N22" s="27">
        <f>IF(AND(N$6=YEAR('Summary Inputs &amp; Assumptions'!$T$7),N$5&lt;Debt!$C$3),'Summary Inputs &amp; Assumptions'!#REF!*N$13,IF(N$5&gt;'Summary Inputs &amp; Assumptions'!$Q$41,0,(M22/M$13)*(1+'Summary Inputs &amp; Assumptions'!$G43)))</f>
        <v>5000</v>
      </c>
      <c r="O22" s="27">
        <f>IF(AND(O$6=YEAR('Summary Inputs &amp; Assumptions'!$T$7),O$5&lt;Debt!$C$3),'Summary Inputs &amp; Assumptions'!#REF!*O$13,IF(O$5&gt;'Summary Inputs &amp; Assumptions'!$Q$41,0,(N22/N$13)*(1+'Summary Inputs &amp; Assumptions'!$G43)))</f>
        <v>5000</v>
      </c>
      <c r="P22" s="27">
        <f>IF(AND(P$6=YEAR('Summary Inputs &amp; Assumptions'!$T$7),P$5&lt;Debt!$C$3),'Summary Inputs &amp; Assumptions'!#REF!*P$13,IF(P$5&gt;'Summary Inputs &amp; Assumptions'!$Q$41,0,(O22/O$13)*(1+'Summary Inputs &amp; Assumptions'!$G43)))</f>
        <v>5000</v>
      </c>
      <c r="Q22" s="27">
        <f>IF(AND(Q$6=YEAR('Summary Inputs &amp; Assumptions'!$T$7),Q$5&lt;Debt!$C$3),'Summary Inputs &amp; Assumptions'!#REF!*Q$13,IF(Q$5&gt;'Summary Inputs &amp; Assumptions'!$Q$41,0,(P22/P$13)*(1+'Summary Inputs &amp; Assumptions'!$G43)))</f>
        <v>5000</v>
      </c>
      <c r="R22" s="27">
        <f>IF(AND(R$6=YEAR('Summary Inputs &amp; Assumptions'!$T$7),R$5&lt;Debt!$C$3),'Summary Inputs &amp; Assumptions'!#REF!*R$13,IF(R$5&gt;'Summary Inputs &amp; Assumptions'!$Q$41,0,(Q22/Q$13)*(1+'Summary Inputs &amp; Assumptions'!$G43)))</f>
        <v>5000</v>
      </c>
      <c r="S22" s="27">
        <f>IF(AND(S$6=YEAR('Summary Inputs &amp; Assumptions'!$T$7),S$5&lt;Debt!$C$3),'Summary Inputs &amp; Assumptions'!V63*S$13,IF(S$5&gt;'Summary Inputs &amp; Assumptions'!$Q$41,0,(R22/R$13)*(1+'Summary Inputs &amp; Assumptions'!$G43)))</f>
        <v>0</v>
      </c>
      <c r="T22" s="27">
        <f>IF(AND(T$6=YEAR('Summary Inputs &amp; Assumptions'!$T$7),T$5&lt;Debt!$C$3),'Summary Inputs &amp; Assumptions'!W63*T$13,IF(T$5&gt;'Summary Inputs &amp; Assumptions'!$Q$41,0,(S22/S$13)*(1+'Summary Inputs &amp; Assumptions'!$G43)))</f>
        <v>0</v>
      </c>
      <c r="U22" s="27">
        <f>IF(AND(U$6=YEAR('Summary Inputs &amp; Assumptions'!$T$7),U$5&lt;Debt!$C$3),'Summary Inputs &amp; Assumptions'!X63*U$13,IF(U$5&gt;'Summary Inputs &amp; Assumptions'!$Q$41,0,(T22/T$13)*(1+'Summary Inputs &amp; Assumptions'!$G43)))</f>
        <v>0</v>
      </c>
      <c r="V22" s="27">
        <f>IF(AND(V$6=YEAR('Summary Inputs &amp; Assumptions'!$T$7),V$5&lt;Debt!$C$3),'Summary Inputs &amp; Assumptions'!Y63*V$13,IF(V$5&gt;'Summary Inputs &amp; Assumptions'!$Q$41,0,(U22/U$13)*(1+'Summary Inputs &amp; Assumptions'!$G43)))</f>
        <v>0</v>
      </c>
      <c r="W22" s="27">
        <f>IF(AND(W$6=YEAR('Summary Inputs &amp; Assumptions'!$T$7),W$5&lt;Debt!$C$3),'Summary Inputs &amp; Assumptions'!Z63*W$13,IF(W$5&gt;'Summary Inputs &amp; Assumptions'!$Q$41,0,(V22/V$13)*(1+'Summary Inputs &amp; Assumptions'!$G43)))</f>
        <v>0</v>
      </c>
      <c r="X22" s="27">
        <f>IF(AND(X$6=YEAR('Summary Inputs &amp; Assumptions'!$T$7),X$5&lt;Debt!$C$3),'Summary Inputs &amp; Assumptions'!AA61*X$13,IF(X$5&gt;'Summary Inputs &amp; Assumptions'!$Q$41,0,(W22/W$13)*(1+'Summary Inputs &amp; Assumptions'!$G43)))</f>
        <v>0</v>
      </c>
      <c r="Y22" s="27">
        <f>IF(AND(Y$6=YEAR('Summary Inputs &amp; Assumptions'!$T$7),Y$5&lt;Debt!$C$3),'Summary Inputs &amp; Assumptions'!#REF!*Y$13,IF(Y$5&gt;'Summary Inputs &amp; Assumptions'!$Q$41,0,(X22/X$13)*(1+'Summary Inputs &amp; Assumptions'!$G43)))</f>
        <v>0</v>
      </c>
      <c r="Z22" s="27">
        <f>IF(AND(Z$6=YEAR('Summary Inputs &amp; Assumptions'!$T$7),Z$5&lt;Debt!$C$3),'Summary Inputs &amp; Assumptions'!#REF!*Z$13,IF(Z$5&gt;'Summary Inputs &amp; Assumptions'!$Q$41,0,(Y22/Y$13)*(1+'Summary Inputs &amp; Assumptions'!$G43)))</f>
        <v>0</v>
      </c>
      <c r="AA22" s="27">
        <f>IF(AND(AA$6=YEAR('Summary Inputs &amp; Assumptions'!$T$7),AA$5&lt;Debt!$C$3),'Summary Inputs &amp; Assumptions'!#REF!*AA$13,IF(AA$5&gt;'Summary Inputs &amp; Assumptions'!$Q$41,0,(Z22/Z$13)*(1+'Summary Inputs &amp; Assumptions'!$G43)))</f>
        <v>0</v>
      </c>
      <c r="AB22" s="27">
        <f>IF(AND(AB$6=YEAR('Summary Inputs &amp; Assumptions'!$T$7),AB$5&lt;Debt!$C$3),'Summary Inputs &amp; Assumptions'!AB61*AB$13,IF(AB$5&gt;'Summary Inputs &amp; Assumptions'!$Q$41,0,(AA22/AA$13)*(1+'Summary Inputs &amp; Assumptions'!$G43)))</f>
        <v>0</v>
      </c>
      <c r="AC22" s="27">
        <f>IF(AND(AC$6=YEAR('Summary Inputs &amp; Assumptions'!$T$7),AC$5&lt;Debt!$C$3),'Summary Inputs &amp; Assumptions'!AC61*AC$13,IF(AC$5&gt;'Summary Inputs &amp; Assumptions'!$Q$41,0,(AB22/AB$13)*(1+'Summary Inputs &amp; Assumptions'!$G43)))</f>
        <v>0</v>
      </c>
      <c r="AD22" s="27">
        <f>IF(AND(AD$6=YEAR('Summary Inputs &amp; Assumptions'!$T$7),AD$5&lt;Debt!$C$3),'Summary Inputs &amp; Assumptions'!AD61*AD$13,IF(AD$5&gt;'Summary Inputs &amp; Assumptions'!$Q$41,0,(AC22/AC$13)*(1+'Summary Inputs &amp; Assumptions'!$G43)))</f>
        <v>0</v>
      </c>
      <c r="AE22" s="27">
        <f>IF(AND(AE$6=YEAR('Summary Inputs &amp; Assumptions'!$T$7),AE$5&lt;Debt!$C$3),'Summary Inputs &amp; Assumptions'!AE61*AE$13,IF(AE$5&gt;'Summary Inputs &amp; Assumptions'!$Q$41,0,(AD22/AD$13)*(1+'Summary Inputs &amp; Assumptions'!$G43)))</f>
        <v>0</v>
      </c>
      <c r="AF22" s="27">
        <f>IF(AND(AF$6=YEAR('Summary Inputs &amp; Assumptions'!$T$7),AF$5&lt;Debt!$C$3),'Summary Inputs &amp; Assumptions'!AF61*AF$13,IF(AF$5&gt;'Summary Inputs &amp; Assumptions'!$Q$41,0,(AE22/AE$13)*(1+'Summary Inputs &amp; Assumptions'!$G43)))</f>
        <v>0</v>
      </c>
      <c r="AG22" s="27">
        <f>IF(AND(AG$6=YEAR('Summary Inputs &amp; Assumptions'!$T$7),AG$5&lt;Debt!$C$3),'Summary Inputs &amp; Assumptions'!AG61*AG$13,IF(AG$5&gt;'Summary Inputs &amp; Assumptions'!$Q$41,0,(AF22/AF$13)*(1+'Summary Inputs &amp; Assumptions'!$G43)))</f>
        <v>0</v>
      </c>
    </row>
    <row r="23" spans="2:33" x14ac:dyDescent="0.4">
      <c r="C23" s="1" t="str">
        <f>'Summary Inputs &amp; Assumptions'!B44</f>
        <v>Other</v>
      </c>
      <c r="D23" s="27">
        <f>IF(AND(D$6=YEAR('Summary Inputs &amp; Assumptions'!$T$7),D$5&lt;Debt!$C$3),'Summary Inputs &amp; Assumptions'!D44*D$13,IF(D$5&gt;'Summary Inputs &amp; Assumptions'!$Q$41,0,(C23*(1+'Summary Inputs &amp; Assumptions'!$G44))))</f>
        <v>1643.8356164383561</v>
      </c>
      <c r="E23" s="27">
        <f>IF(AND(E$6=YEAR('Summary Inputs &amp; Assumptions'!$T$7),E$5&lt;Debt!$C$3),'Summary Inputs &amp; Assumptions'!E44*E$13,IF(E$5&gt;'Summary Inputs &amp; Assumptions'!$Q$41,0,(D23/D$13)*(1+'Summary Inputs &amp; Assumptions'!$G44)))</f>
        <v>3000</v>
      </c>
      <c r="F23" s="27">
        <f>IF(AND(F$6=YEAR('Summary Inputs &amp; Assumptions'!$T$7),F$5&lt;Debt!$C$3),'Summary Inputs &amp; Assumptions'!F44*F$13,IF(F$5&gt;'Summary Inputs &amp; Assumptions'!$Q$41,0,(E23/E$13)*(1+'Summary Inputs &amp; Assumptions'!$G44)))</f>
        <v>3000</v>
      </c>
      <c r="G23" s="27">
        <f>IF(AND(G$6=YEAR('Summary Inputs &amp; Assumptions'!$T$7),G$5&lt;Debt!$C$3),'Summary Inputs &amp; Assumptions'!G44*G$13,IF(G$5&gt;'Summary Inputs &amp; Assumptions'!$Q$41,0,(F23/F$13)*(1+'Summary Inputs &amp; Assumptions'!$G44)))</f>
        <v>3000</v>
      </c>
      <c r="H23" s="27">
        <f>IF(AND(H$6=YEAR('Summary Inputs &amp; Assumptions'!$T$7),H$5&lt;Debt!$C$3),'Summary Inputs &amp; Assumptions'!#REF!*H$13,IF(H$5&gt;'Summary Inputs &amp; Assumptions'!$Q$41,0,(G23/G$13)*(1+'Summary Inputs &amp; Assumptions'!$G44)))</f>
        <v>3000</v>
      </c>
      <c r="I23" s="27">
        <f>IF(AND(I$6=YEAR('Summary Inputs &amp; Assumptions'!$T$7),I$5&lt;Debt!$C$3),'Summary Inputs &amp; Assumptions'!#REF!*I$13,IF(I$5&gt;'Summary Inputs &amp; Assumptions'!$Q$41,0,(H23/H$13)*(1+'Summary Inputs &amp; Assumptions'!$G44)))</f>
        <v>3000</v>
      </c>
      <c r="J23" s="27">
        <f>IF(AND(J$6=YEAR('Summary Inputs &amp; Assumptions'!$T$7),J$5&lt;Debt!$C$3),'Summary Inputs &amp; Assumptions'!#REF!*J$13,IF(J$5&gt;'Summary Inputs &amp; Assumptions'!$Q$41,0,(I23/I$13)*(1+'Summary Inputs &amp; Assumptions'!$G44)))</f>
        <v>3000</v>
      </c>
      <c r="K23" s="27">
        <f>IF(AND(K$6=YEAR('Summary Inputs &amp; Assumptions'!$T$7),K$5&lt;Debt!$C$3),'Summary Inputs &amp; Assumptions'!#REF!*K$13,IF(K$5&gt;'Summary Inputs &amp; Assumptions'!$Q$41,0,(J23/J$13)*(1+'Summary Inputs &amp; Assumptions'!$G44)))</f>
        <v>3000</v>
      </c>
      <c r="L23" s="27">
        <f>IF(AND(L$6=YEAR('Summary Inputs &amp; Assumptions'!$T$7),L$5&lt;Debt!$C$3),'Summary Inputs &amp; Assumptions'!#REF!*L$13,IF(L$5&gt;'Summary Inputs &amp; Assumptions'!$Q$41,0,(K23/K$13)*(1+'Summary Inputs &amp; Assumptions'!$G44)))</f>
        <v>3000</v>
      </c>
      <c r="M23" s="27">
        <f>IF(AND(M$6=YEAR('Summary Inputs &amp; Assumptions'!$T$7),M$5&lt;Debt!$C$3),'Summary Inputs &amp; Assumptions'!#REF!*M$13,IF(M$5&gt;'Summary Inputs &amp; Assumptions'!$Q$41,0,(L23/L$13)*(1+'Summary Inputs &amp; Assumptions'!$G44)))</f>
        <v>3000</v>
      </c>
      <c r="N23" s="27">
        <f>IF(AND(N$6=YEAR('Summary Inputs &amp; Assumptions'!$T$7),N$5&lt;Debt!$C$3),'Summary Inputs &amp; Assumptions'!#REF!*N$13,IF(N$5&gt;'Summary Inputs &amp; Assumptions'!$Q$41,0,(M23/M$13)*(1+'Summary Inputs &amp; Assumptions'!$G44)))</f>
        <v>3000</v>
      </c>
      <c r="O23" s="27">
        <f>IF(AND(O$6=YEAR('Summary Inputs &amp; Assumptions'!$T$7),O$5&lt;Debt!$C$3),'Summary Inputs &amp; Assumptions'!#REF!*O$13,IF(O$5&gt;'Summary Inputs &amp; Assumptions'!$Q$41,0,(N23/N$13)*(1+'Summary Inputs &amp; Assumptions'!$G44)))</f>
        <v>3000</v>
      </c>
      <c r="P23" s="27">
        <f>IF(AND(P$6=YEAR('Summary Inputs &amp; Assumptions'!$T$7),P$5&lt;Debt!$C$3),'Summary Inputs &amp; Assumptions'!#REF!*P$13,IF(P$5&gt;'Summary Inputs &amp; Assumptions'!$Q$41,0,(O23/O$13)*(1+'Summary Inputs &amp; Assumptions'!$G44)))</f>
        <v>3000</v>
      </c>
      <c r="Q23" s="27">
        <f>IF(AND(Q$6=YEAR('Summary Inputs &amp; Assumptions'!$T$7),Q$5&lt;Debt!$C$3),'Summary Inputs &amp; Assumptions'!#REF!*Q$13,IF(Q$5&gt;'Summary Inputs &amp; Assumptions'!$Q$41,0,(P23/P$13)*(1+'Summary Inputs &amp; Assumptions'!$G44)))</f>
        <v>3000</v>
      </c>
      <c r="R23" s="27">
        <f>IF(AND(R$6=YEAR('Summary Inputs &amp; Assumptions'!$T$7),R$5&lt;Debt!$C$3),'Summary Inputs &amp; Assumptions'!#REF!*R$13,IF(R$5&gt;'Summary Inputs &amp; Assumptions'!$Q$41,0,(Q23/Q$13)*(1+'Summary Inputs &amp; Assumptions'!$G44)))</f>
        <v>3000</v>
      </c>
      <c r="S23" s="27">
        <f>IF(AND(S$6=YEAR('Summary Inputs &amp; Assumptions'!$T$7),S$5&lt;Debt!$C$3),'Summary Inputs &amp; Assumptions'!V64*S$13,IF(S$5&gt;'Summary Inputs &amp; Assumptions'!$Q$41,0,(R23/R$13)*(1+'Summary Inputs &amp; Assumptions'!$G44)))</f>
        <v>0</v>
      </c>
      <c r="T23" s="27">
        <f>IF(AND(T$6=YEAR('Summary Inputs &amp; Assumptions'!$T$7),T$5&lt;Debt!$C$3),'Summary Inputs &amp; Assumptions'!W64*T$13,IF(T$5&gt;'Summary Inputs &amp; Assumptions'!$Q$41,0,(S23/S$13)*(1+'Summary Inputs &amp; Assumptions'!$G44)))</f>
        <v>0</v>
      </c>
      <c r="U23" s="27">
        <f>IF(AND(U$6=YEAR('Summary Inputs &amp; Assumptions'!$T$7),U$5&lt;Debt!$C$3),'Summary Inputs &amp; Assumptions'!X64*U$13,IF(U$5&gt;'Summary Inputs &amp; Assumptions'!$Q$41,0,(T23/T$13)*(1+'Summary Inputs &amp; Assumptions'!$G44)))</f>
        <v>0</v>
      </c>
      <c r="V23" s="27">
        <f>IF(AND(V$6=YEAR('Summary Inputs &amp; Assumptions'!$T$7),V$5&lt;Debt!$C$3),'Summary Inputs &amp; Assumptions'!Y64*V$13,IF(V$5&gt;'Summary Inputs &amp; Assumptions'!$Q$41,0,(U23/U$13)*(1+'Summary Inputs &amp; Assumptions'!$G44)))</f>
        <v>0</v>
      </c>
      <c r="W23" s="27">
        <f>IF(AND(W$6=YEAR('Summary Inputs &amp; Assumptions'!$T$7),W$5&lt;Debt!$C$3),'Summary Inputs &amp; Assumptions'!Z64*W$13,IF(W$5&gt;'Summary Inputs &amp; Assumptions'!$Q$41,0,(V23/V$13)*(1+'Summary Inputs &amp; Assumptions'!$G44)))</f>
        <v>0</v>
      </c>
      <c r="X23" s="27">
        <f>IF(AND(X$6=YEAR('Summary Inputs &amp; Assumptions'!$T$7),X$5&lt;Debt!$C$3),'Summary Inputs &amp; Assumptions'!AA62*X$13,IF(X$5&gt;'Summary Inputs &amp; Assumptions'!$Q$41,0,(W23/W$13)*(1+'Summary Inputs &amp; Assumptions'!$G44)))</f>
        <v>0</v>
      </c>
      <c r="Y23" s="27">
        <f>IF(AND(Y$6=YEAR('Summary Inputs &amp; Assumptions'!$T$7),Y$5&lt;Debt!$C$3),'Summary Inputs &amp; Assumptions'!#REF!*Y$13,IF(Y$5&gt;'Summary Inputs &amp; Assumptions'!$Q$41,0,(X23/X$13)*(1+'Summary Inputs &amp; Assumptions'!$G44)))</f>
        <v>0</v>
      </c>
      <c r="Z23" s="27">
        <f>IF(AND(Z$6=YEAR('Summary Inputs &amp; Assumptions'!$T$7),Z$5&lt;Debt!$C$3),'Summary Inputs &amp; Assumptions'!#REF!*Z$13,IF(Z$5&gt;'Summary Inputs &amp; Assumptions'!$Q$41,0,(Y23/Y$13)*(1+'Summary Inputs &amp; Assumptions'!$G44)))</f>
        <v>0</v>
      </c>
      <c r="AA23" s="27">
        <f>IF(AND(AA$6=YEAR('Summary Inputs &amp; Assumptions'!$T$7),AA$5&lt;Debt!$C$3),'Summary Inputs &amp; Assumptions'!#REF!*AA$13,IF(AA$5&gt;'Summary Inputs &amp; Assumptions'!$Q$41,0,(Z23/Z$13)*(1+'Summary Inputs &amp; Assumptions'!$G44)))</f>
        <v>0</v>
      </c>
      <c r="AB23" s="27">
        <f>IF(AND(AB$6=YEAR('Summary Inputs &amp; Assumptions'!$T$7),AB$5&lt;Debt!$C$3),'Summary Inputs &amp; Assumptions'!AB62*AB$13,IF(AB$5&gt;'Summary Inputs &amp; Assumptions'!$Q$41,0,(AA23/AA$13)*(1+'Summary Inputs &amp; Assumptions'!$G44)))</f>
        <v>0</v>
      </c>
      <c r="AC23" s="27">
        <f>IF(AND(AC$6=YEAR('Summary Inputs &amp; Assumptions'!$T$7),AC$5&lt;Debt!$C$3),'Summary Inputs &amp; Assumptions'!AC62*AC$13,IF(AC$5&gt;'Summary Inputs &amp; Assumptions'!$Q$41,0,(AB23/AB$13)*(1+'Summary Inputs &amp; Assumptions'!$G44)))</f>
        <v>0</v>
      </c>
      <c r="AD23" s="27">
        <f>IF(AND(AD$6=YEAR('Summary Inputs &amp; Assumptions'!$T$7),AD$5&lt;Debt!$C$3),'Summary Inputs &amp; Assumptions'!AD62*AD$13,IF(AD$5&gt;'Summary Inputs &amp; Assumptions'!$Q$41,0,(AC23/AC$13)*(1+'Summary Inputs &amp; Assumptions'!$G44)))</f>
        <v>0</v>
      </c>
      <c r="AE23" s="27">
        <f>IF(AND(AE$6=YEAR('Summary Inputs &amp; Assumptions'!$T$7),AE$5&lt;Debt!$C$3),'Summary Inputs &amp; Assumptions'!AE62*AE$13,IF(AE$5&gt;'Summary Inputs &amp; Assumptions'!$Q$41,0,(AD23/AD$13)*(1+'Summary Inputs &amp; Assumptions'!$G44)))</f>
        <v>0</v>
      </c>
      <c r="AF23" s="27">
        <f>IF(AND(AF$6=YEAR('Summary Inputs &amp; Assumptions'!$T$7),AF$5&lt;Debt!$C$3),'Summary Inputs &amp; Assumptions'!AF62*AF$13,IF(AF$5&gt;'Summary Inputs &amp; Assumptions'!$Q$41,0,(AE23/AE$13)*(1+'Summary Inputs &amp; Assumptions'!$G44)))</f>
        <v>0</v>
      </c>
      <c r="AG23" s="27">
        <f>IF(AND(AG$6=YEAR('Summary Inputs &amp; Assumptions'!$T$7),AG$5&lt;Debt!$C$3),'Summary Inputs &amp; Assumptions'!AG62*AG$13,IF(AG$5&gt;'Summary Inputs &amp; Assumptions'!$Q$41,0,(AF23/AF$13)*(1+'Summary Inputs &amp; Assumptions'!$G44)))</f>
        <v>0</v>
      </c>
    </row>
    <row r="24" spans="2:33" x14ac:dyDescent="0.4">
      <c r="C24" s="1" t="s">
        <v>48</v>
      </c>
      <c r="D24" s="28">
        <f>IF('Summary Inputs &amp; Assumptions'!$L$24="Yes",IF(AND(D$6=YEAR('Summary Inputs &amp; Assumptions'!$T$9),'Summary Inputs &amp; Assumptions'!$L$24="Yes"),'Summary Inputs &amp; Assumptions'!$L$23,0),IFERROR(INDEX('Summary Inputs &amp; Assumptions'!$J$27:$J$34,(MATCH((IF(YEAR('Summary Inputs &amp; Assumptions'!$T$7)=D$6,1,C5+1)),'Summary Inputs &amp; Assumptions'!$J$27:$J$34,0)),3),)*D$52)</f>
        <v>0</v>
      </c>
      <c r="E24" s="28">
        <f>IF('Summary Inputs &amp; Assumptions'!$L$24="Yes",IF(AND(E$6=YEAR('Summary Inputs &amp; Assumptions'!$T$9),'Summary Inputs &amp; Assumptions'!$L$24="Yes"),'Summary Inputs &amp; Assumptions'!$L$23,0),IFERROR(INDEX('Summary Inputs &amp; Assumptions'!$J$27:$J$34,(MATCH((IF(YEAR('Summary Inputs &amp; Assumptions'!$T$7)=E$6,1,D5+1)),'Summary Inputs &amp; Assumptions'!$J$27:$J$34,0)),3),)*E$52)</f>
        <v>4964408</v>
      </c>
      <c r="F24" s="28">
        <f>IF('Summary Inputs &amp; Assumptions'!$L$24="Yes",IF(AND(F$6=YEAR('Summary Inputs &amp; Assumptions'!$T$9),'Summary Inputs &amp; Assumptions'!$L$24="Yes"),'Summary Inputs &amp; Assumptions'!$L$23,0),IFERROR(INDEX('Summary Inputs &amp; Assumptions'!$J$27:$J$34,(MATCH((IF(YEAR('Summary Inputs &amp; Assumptions'!$T$7)=F$6,1,E5+1)),'Summary Inputs &amp; Assumptions'!$J$27:$J$34,0)),3),)*F$52)</f>
        <v>0</v>
      </c>
      <c r="G24" s="28">
        <f>IF('Summary Inputs &amp; Assumptions'!$L$24="Yes",IF(AND(G$6=YEAR('Summary Inputs &amp; Assumptions'!$T$9),'Summary Inputs &amp; Assumptions'!$L$24="Yes"),'Summary Inputs &amp; Assumptions'!$L$23,0),IFERROR(INDEX('Summary Inputs &amp; Assumptions'!$J$27:$J$34,(MATCH((IF(YEAR('Summary Inputs &amp; Assumptions'!$T$7)=G$6,1,F5+1)),'Summary Inputs &amp; Assumptions'!$J$27:$J$34,0)),3),)*G$52)</f>
        <v>0</v>
      </c>
      <c r="H24" s="28">
        <f>IF('Summary Inputs &amp; Assumptions'!$L$24="Yes",IF(AND(H$6=YEAR('Summary Inputs &amp; Assumptions'!$T$9),'Summary Inputs &amp; Assumptions'!$L$24="Yes"),'Summary Inputs &amp; Assumptions'!$L$23,0),IFERROR(INDEX('Summary Inputs &amp; Assumptions'!$J$27:$J$34,(MATCH((IF(YEAR('Summary Inputs &amp; Assumptions'!$T$7)=H$6,1,G5+1)),'Summary Inputs &amp; Assumptions'!$J$27:$J$34,0)),3),)*H$52)</f>
        <v>0</v>
      </c>
      <c r="I24" s="28">
        <f>IF('Summary Inputs &amp; Assumptions'!$L$24="Yes",IF(AND(I$6=YEAR('Summary Inputs &amp; Assumptions'!$T$9),'Summary Inputs &amp; Assumptions'!$L$24="Yes"),'Summary Inputs &amp; Assumptions'!$L$23,0),IFERROR(INDEX('Summary Inputs &amp; Assumptions'!$J$27:$J$34,(MATCH((IF(YEAR('Summary Inputs &amp; Assumptions'!$T$7)=I$6,1,H5+1)),'Summary Inputs &amp; Assumptions'!$J$27:$J$34,0)),3),)*I$52)</f>
        <v>0</v>
      </c>
      <c r="J24" s="28">
        <f>IF('Summary Inputs &amp; Assumptions'!$L$24="Yes",IF(AND(J$6=YEAR('Summary Inputs &amp; Assumptions'!$T$9),'Summary Inputs &amp; Assumptions'!$L$24="Yes"),'Summary Inputs &amp; Assumptions'!$L$23,0),IFERROR(INDEX('Summary Inputs &amp; Assumptions'!$J$27:$J$34,(MATCH((IF(YEAR('Summary Inputs &amp; Assumptions'!$T$7)=J$6,1,I5+1)),'Summary Inputs &amp; Assumptions'!$J$27:$J$34,0)),3),)*J$52)</f>
        <v>0</v>
      </c>
      <c r="K24" s="28">
        <f>IF('Summary Inputs &amp; Assumptions'!$L$24="Yes",IF(AND(K$6=YEAR('Summary Inputs &amp; Assumptions'!$T$9),'Summary Inputs &amp; Assumptions'!$L$24="Yes"),'Summary Inputs &amp; Assumptions'!$L$23,0),IFERROR(INDEX('Summary Inputs &amp; Assumptions'!$J$27:$J$34,(MATCH((IF(YEAR('Summary Inputs &amp; Assumptions'!$T$7)=K$6,1,J5+1)),'Summary Inputs &amp; Assumptions'!$J$27:$J$34,0)),3),)*K$52)</f>
        <v>0</v>
      </c>
      <c r="L24" s="28">
        <f>IF('Summary Inputs &amp; Assumptions'!$L$24="Yes",IF(AND(L$6=YEAR('Summary Inputs &amp; Assumptions'!$T$9),'Summary Inputs &amp; Assumptions'!$L$24="Yes"),'Summary Inputs &amp; Assumptions'!$L$23,0),IFERROR(INDEX('Summary Inputs &amp; Assumptions'!$J$27:$J$34,(MATCH((IF(YEAR('Summary Inputs &amp; Assumptions'!$T$7)=L$6,1,K5+1)),'Summary Inputs &amp; Assumptions'!$J$27:$J$34,0)),3),)*L$52)</f>
        <v>0</v>
      </c>
      <c r="M24" s="28">
        <f>IF('Summary Inputs &amp; Assumptions'!$L$24="Yes",IF(AND(M$6=YEAR('Summary Inputs &amp; Assumptions'!$T$9),'Summary Inputs &amp; Assumptions'!$L$24="Yes"),'Summary Inputs &amp; Assumptions'!$L$23,0),IFERROR(INDEX('Summary Inputs &amp; Assumptions'!$J$27:$J$34,(MATCH((IF(YEAR('Summary Inputs &amp; Assumptions'!$T$7)=M$6,1,L5+1)),'Summary Inputs &amp; Assumptions'!$J$27:$J$34,0)),3),)*M$52)</f>
        <v>0</v>
      </c>
      <c r="N24" s="28">
        <f>IF('Summary Inputs &amp; Assumptions'!$L$24="Yes",IF(AND(N$6=YEAR('Summary Inputs &amp; Assumptions'!$T$9),'Summary Inputs &amp; Assumptions'!$L$24="Yes"),'Summary Inputs &amp; Assumptions'!$L$23,0),IFERROR(INDEX('Summary Inputs &amp; Assumptions'!$J$27:$J$34,(MATCH((IF(YEAR('Summary Inputs &amp; Assumptions'!$T$7)=N$6,1,M5+1)),'Summary Inputs &amp; Assumptions'!$J$27:$J$34,0)),3),)*N$52)</f>
        <v>0</v>
      </c>
      <c r="O24" s="28">
        <f>IF('Summary Inputs &amp; Assumptions'!$L$24="Yes",IF(AND(O$6=YEAR('Summary Inputs &amp; Assumptions'!$T$9),'Summary Inputs &amp; Assumptions'!$L$24="Yes"),'Summary Inputs &amp; Assumptions'!$L$23,0),IFERROR(INDEX('Summary Inputs &amp; Assumptions'!$J$27:$J$34,(MATCH((IF(YEAR('Summary Inputs &amp; Assumptions'!$T$7)=O$6,1,N5+1)),'Summary Inputs &amp; Assumptions'!$J$27:$J$34,0)),3),)*O$52)</f>
        <v>0</v>
      </c>
      <c r="P24" s="28">
        <f>IF('Summary Inputs &amp; Assumptions'!$L$24="Yes",IF(AND(P$6=YEAR('Summary Inputs &amp; Assumptions'!$T$9),'Summary Inputs &amp; Assumptions'!$L$24="Yes"),'Summary Inputs &amp; Assumptions'!$L$23,0),IFERROR(INDEX('Summary Inputs &amp; Assumptions'!$J$27:$J$34,(MATCH((IF(YEAR('Summary Inputs &amp; Assumptions'!$T$7)=P$6,1,O5+1)),'Summary Inputs &amp; Assumptions'!$J$27:$J$34,0)),3),)*P$52)</f>
        <v>0</v>
      </c>
      <c r="Q24" s="28">
        <f>IF('Summary Inputs &amp; Assumptions'!$L$24="Yes",IF(AND(Q$6=YEAR('Summary Inputs &amp; Assumptions'!$T$9),'Summary Inputs &amp; Assumptions'!$L$24="Yes"),'Summary Inputs &amp; Assumptions'!$L$23,0),IFERROR(INDEX('Summary Inputs &amp; Assumptions'!$J$27:$J$34,(MATCH((IF(YEAR('Summary Inputs &amp; Assumptions'!$T$7)=Q$6,1,P5+1)),'Summary Inputs &amp; Assumptions'!$J$27:$J$34,0)),3),)*Q$52)</f>
        <v>0</v>
      </c>
      <c r="R24" s="28">
        <f>IF('Summary Inputs &amp; Assumptions'!$L$24="Yes",IF(AND(R$6=YEAR('Summary Inputs &amp; Assumptions'!$T$9),'Summary Inputs &amp; Assumptions'!$L$24="Yes"),'Summary Inputs &amp; Assumptions'!$L$23,0),IFERROR(INDEX('Summary Inputs &amp; Assumptions'!$J$27:$J$34,(MATCH((IF(YEAR('Summary Inputs &amp; Assumptions'!$T$7)=R$6,1,Q5+1)),'Summary Inputs &amp; Assumptions'!$J$27:$J$34,0)),3),)*R$52)</f>
        <v>0</v>
      </c>
      <c r="S24" s="28">
        <f>IF('Summary Inputs &amp; Assumptions'!$L$24="Yes",IF(AND(S$6=YEAR('Summary Inputs &amp; Assumptions'!$T$9),'Summary Inputs &amp; Assumptions'!$L$24="Yes"),'Summary Inputs &amp; Assumptions'!$L$23,0),IFERROR(INDEX('Summary Inputs &amp; Assumptions'!$J$27:$J$34,(MATCH((IF(YEAR('Summary Inputs &amp; Assumptions'!$T$7)=S$6,1,R5+1)),'Summary Inputs &amp; Assumptions'!$J$27:$J$34,0)),3),)*S$52)</f>
        <v>0</v>
      </c>
      <c r="T24" s="28">
        <f>IF('Summary Inputs &amp; Assumptions'!$L$24="Yes",IF(AND(T$6=YEAR('Summary Inputs &amp; Assumptions'!$T$9),'Summary Inputs &amp; Assumptions'!$L$24="Yes"),'Summary Inputs &amp; Assumptions'!$L$23,0),IFERROR(INDEX('Summary Inputs &amp; Assumptions'!$J$27:$J$34,(MATCH((IF(YEAR('Summary Inputs &amp; Assumptions'!$T$7)=T$6,1,S5+1)),'Summary Inputs &amp; Assumptions'!$J$27:$J$34,0)),3),)*T$52)</f>
        <v>0</v>
      </c>
      <c r="U24" s="28">
        <f>IF('Summary Inputs &amp; Assumptions'!$L$24="Yes",IF(AND(U$6=YEAR('Summary Inputs &amp; Assumptions'!$T$9),'Summary Inputs &amp; Assumptions'!$L$24="Yes"),'Summary Inputs &amp; Assumptions'!$L$23,0),IFERROR(INDEX('Summary Inputs &amp; Assumptions'!$J$27:$J$34,(MATCH((IF(YEAR('Summary Inputs &amp; Assumptions'!$T$7)=U$6,1,T5+1)),'Summary Inputs &amp; Assumptions'!$J$27:$J$34,0)),3),)*U$52)</f>
        <v>0</v>
      </c>
      <c r="V24" s="28">
        <f>IF('Summary Inputs &amp; Assumptions'!$L$24="Yes",IF(AND(V$6=YEAR('Summary Inputs &amp; Assumptions'!$T$9),'Summary Inputs &amp; Assumptions'!$L$24="Yes"),'Summary Inputs &amp; Assumptions'!$L$23,0),IFERROR(INDEX('Summary Inputs &amp; Assumptions'!$J$27:$J$34,(MATCH((IF(YEAR('Summary Inputs &amp; Assumptions'!$T$7)=V$6,1,U5+1)),'Summary Inputs &amp; Assumptions'!$J$27:$J$34,0)),3),)*V$52)</f>
        <v>0</v>
      </c>
      <c r="W24" s="28">
        <f>IF('Summary Inputs &amp; Assumptions'!$L$24="Yes",IF(AND(W$6=YEAR('Summary Inputs &amp; Assumptions'!$T$9),'Summary Inputs &amp; Assumptions'!$L$24="Yes"),'Summary Inputs &amp; Assumptions'!$L$23,0),IFERROR(INDEX('Summary Inputs &amp; Assumptions'!$J$27:$J$34,(MATCH((IF(YEAR('Summary Inputs &amp; Assumptions'!$T$7)=W$6,1,V5+1)),'Summary Inputs &amp; Assumptions'!$J$27:$J$34,0)),3),)*W$52)</f>
        <v>0</v>
      </c>
      <c r="X24" s="28">
        <f>IF('Summary Inputs &amp; Assumptions'!$L$24="Yes",IF(AND(X$6=YEAR('Summary Inputs &amp; Assumptions'!$T$9),'Summary Inputs &amp; Assumptions'!$L$24="Yes"),'Summary Inputs &amp; Assumptions'!$L$23,0),IFERROR(INDEX('Summary Inputs &amp; Assumptions'!$J$27:$J$34,(MATCH((IF(YEAR('Summary Inputs &amp; Assumptions'!$T$7)=X$6,1,W5+1)),'Summary Inputs &amp; Assumptions'!$J$27:$J$34,0)),3),)*X$52)</f>
        <v>0</v>
      </c>
      <c r="Y24" s="28">
        <f>IF('Summary Inputs &amp; Assumptions'!$L$24="Yes",IF(AND(Y$6=YEAR('Summary Inputs &amp; Assumptions'!$T$9),'Summary Inputs &amp; Assumptions'!$L$24="Yes"),'Summary Inputs &amp; Assumptions'!$L$23,0),IFERROR(INDEX('Summary Inputs &amp; Assumptions'!$J$27:$J$34,(MATCH((IF(YEAR('Summary Inputs &amp; Assumptions'!$T$7)=Y$6,1,X5+1)),'Summary Inputs &amp; Assumptions'!$J$27:$J$34,0)),3),)*Y$52)</f>
        <v>0</v>
      </c>
      <c r="Z24" s="28">
        <f>IF('Summary Inputs &amp; Assumptions'!$L$24="Yes",IF(AND(Z$6=YEAR('Summary Inputs &amp; Assumptions'!$T$9),'Summary Inputs &amp; Assumptions'!$L$24="Yes"),'Summary Inputs &amp; Assumptions'!$L$23,0),IFERROR(INDEX('Summary Inputs &amp; Assumptions'!$J$27:$J$34,(MATCH((IF(YEAR('Summary Inputs &amp; Assumptions'!$T$7)=Z$6,1,Y5+1)),'Summary Inputs &amp; Assumptions'!$J$27:$J$34,0)),3),)*Z$52)</f>
        <v>0</v>
      </c>
      <c r="AA24" s="28">
        <f>IF('Summary Inputs &amp; Assumptions'!$L$24="Yes",IF(AND(AA$6=YEAR('Summary Inputs &amp; Assumptions'!$T$9),'Summary Inputs &amp; Assumptions'!$L$24="Yes"),'Summary Inputs &amp; Assumptions'!$L$23,0),IFERROR(INDEX('Summary Inputs &amp; Assumptions'!$J$27:$J$34,(MATCH((IF(YEAR('Summary Inputs &amp; Assumptions'!$T$7)=AA$6,1,Z5+1)),'Summary Inputs &amp; Assumptions'!$J$27:$J$34,0)),3),)*AA$52)</f>
        <v>0</v>
      </c>
      <c r="AB24" s="28">
        <f>IF('Summary Inputs &amp; Assumptions'!$L$24="Yes",IF(AND(AB$6=YEAR('Summary Inputs &amp; Assumptions'!$T$9),'Summary Inputs &amp; Assumptions'!$L$24="Yes"),'Summary Inputs &amp; Assumptions'!$L$23,0),IFERROR(INDEX('Summary Inputs &amp; Assumptions'!$J$27:$J$34,(MATCH((IF(YEAR('Summary Inputs &amp; Assumptions'!$T$7)=AB$6,1,AA5+1)),'Summary Inputs &amp; Assumptions'!$J$27:$J$34,0)),3),)*AB$52)</f>
        <v>0</v>
      </c>
      <c r="AC24" s="28">
        <f>IF('Summary Inputs &amp; Assumptions'!$L$24="Yes",IF(AND(AC$6=YEAR('Summary Inputs &amp; Assumptions'!$T$9),'Summary Inputs &amp; Assumptions'!$L$24="Yes"),'Summary Inputs &amp; Assumptions'!$L$23,0),IFERROR(INDEX('Summary Inputs &amp; Assumptions'!$J$27:$J$34,(MATCH((IF(YEAR('Summary Inputs &amp; Assumptions'!$T$7)=AC$6,1,AB5+1)),'Summary Inputs &amp; Assumptions'!$J$27:$J$34,0)),3),)*AC$52)</f>
        <v>0</v>
      </c>
      <c r="AD24" s="28">
        <f>IF('Summary Inputs &amp; Assumptions'!$L$24="Yes",IF(AND(AD$6=YEAR('Summary Inputs &amp; Assumptions'!$T$9),'Summary Inputs &amp; Assumptions'!$L$24="Yes"),'Summary Inputs &amp; Assumptions'!$L$23,0),IFERROR(INDEX('Summary Inputs &amp; Assumptions'!$J$27:$J$34,(MATCH((IF(YEAR('Summary Inputs &amp; Assumptions'!$T$7)=AD$6,1,AC5+1)),'Summary Inputs &amp; Assumptions'!$J$27:$J$34,0)),3),)*AD$52)</f>
        <v>0</v>
      </c>
      <c r="AE24" s="28">
        <f>IF('Summary Inputs &amp; Assumptions'!$L$24="Yes",IF(AND(AE$6=YEAR('Summary Inputs &amp; Assumptions'!$T$9),'Summary Inputs &amp; Assumptions'!$L$24="Yes"),'Summary Inputs &amp; Assumptions'!$L$23,0),IFERROR(INDEX('Summary Inputs &amp; Assumptions'!$J$27:$J$34,(MATCH((IF(YEAR('Summary Inputs &amp; Assumptions'!$T$7)=AE$6,1,AD5+1)),'Summary Inputs &amp; Assumptions'!$J$27:$J$34,0)),3),)*AE$52)</f>
        <v>0</v>
      </c>
      <c r="AF24" s="28">
        <f>IF('Summary Inputs &amp; Assumptions'!$L$24="Yes",IF(AND(AF$6=YEAR('Summary Inputs &amp; Assumptions'!$T$9),'Summary Inputs &amp; Assumptions'!$L$24="Yes"),'Summary Inputs &amp; Assumptions'!$L$23,0),IFERROR(INDEX('Summary Inputs &amp; Assumptions'!$J$27:$J$34,(MATCH((IF(YEAR('Summary Inputs &amp; Assumptions'!$T$7)=AF$6,1,AE5+1)),'Summary Inputs &amp; Assumptions'!$J$27:$J$34,0)),3),)*AF$52)</f>
        <v>0</v>
      </c>
      <c r="AG24" s="28">
        <f>IF('Summary Inputs &amp; Assumptions'!$L$24="Yes",IF(AND(AG$6=YEAR('Summary Inputs &amp; Assumptions'!$T$9),'Summary Inputs &amp; Assumptions'!$L$24="Yes"),'Summary Inputs &amp; Assumptions'!$L$23,0),IFERROR(INDEX('Summary Inputs &amp; Assumptions'!$J$27:$J$34,(MATCH((IF(YEAR('Summary Inputs &amp; Assumptions'!$T$7)=AG$6,1,AF5+1)),'Summary Inputs &amp; Assumptions'!$J$27:$J$34,0)),3),)*AG$52)</f>
        <v>0</v>
      </c>
    </row>
    <row r="25" spans="2:33" x14ac:dyDescent="0.4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pans="2:33" x14ac:dyDescent="0.4">
      <c r="C26" s="1" t="s">
        <v>65</v>
      </c>
      <c r="D26" s="40">
        <f t="shared" ref="D26:AG26" si="7">D15-SUM(D18:D24)</f>
        <v>136859.17808219176</v>
      </c>
      <c r="E26" s="40">
        <f t="shared" si="7"/>
        <v>-4715831.9040000001</v>
      </c>
      <c r="F26" s="40">
        <f t="shared" si="7"/>
        <v>247379.94771200005</v>
      </c>
      <c r="G26" s="40">
        <f t="shared" si="7"/>
        <v>246179.41146886398</v>
      </c>
      <c r="H26" s="40">
        <f t="shared" si="7"/>
        <v>244974.34090645742</v>
      </c>
      <c r="I26" s="40">
        <f t="shared" si="7"/>
        <v>243764.586909178</v>
      </c>
      <c r="J26" s="40">
        <f t="shared" si="7"/>
        <v>242549.99755439931</v>
      </c>
      <c r="K26" s="40">
        <f t="shared" si="7"/>
        <v>241330.41805580395</v>
      </c>
      <c r="L26" s="40">
        <f t="shared" si="7"/>
        <v>240105.69070558564</v>
      </c>
      <c r="M26" s="40">
        <f t="shared" si="7"/>
        <v>238875.65481549702</v>
      </c>
      <c r="N26" s="40">
        <f t="shared" si="7"/>
        <v>237640.14665671915</v>
      </c>
      <c r="O26" s="40">
        <f t="shared" si="7"/>
        <v>236398.99939853104</v>
      </c>
      <c r="P26" s="40">
        <f t="shared" si="7"/>
        <v>235152.04304575309</v>
      </c>
      <c r="Q26" s="40">
        <f t="shared" si="7"/>
        <v>233899.10437494196</v>
      </c>
      <c r="R26" s="40">
        <f t="shared" si="7"/>
        <v>232640.00686930964</v>
      </c>
      <c r="S26" s="40">
        <f t="shared" si="7"/>
        <v>0</v>
      </c>
      <c r="T26" s="40">
        <f t="shared" si="7"/>
        <v>0</v>
      </c>
      <c r="U26" s="40">
        <f t="shared" si="7"/>
        <v>0</v>
      </c>
      <c r="V26" s="40">
        <f t="shared" si="7"/>
        <v>0</v>
      </c>
      <c r="W26" s="40">
        <f t="shared" si="7"/>
        <v>0</v>
      </c>
      <c r="X26" s="40">
        <f t="shared" si="7"/>
        <v>0</v>
      </c>
      <c r="Y26" s="40">
        <f t="shared" si="7"/>
        <v>0</v>
      </c>
      <c r="Z26" s="40">
        <f t="shared" si="7"/>
        <v>0</v>
      </c>
      <c r="AA26" s="40">
        <f t="shared" si="7"/>
        <v>0</v>
      </c>
      <c r="AB26" s="40">
        <f t="shared" si="7"/>
        <v>0</v>
      </c>
      <c r="AC26" s="40">
        <f t="shared" si="7"/>
        <v>0</v>
      </c>
      <c r="AD26" s="40">
        <f t="shared" si="7"/>
        <v>0</v>
      </c>
      <c r="AE26" s="40">
        <f t="shared" si="7"/>
        <v>0</v>
      </c>
      <c r="AF26" s="40">
        <f t="shared" si="7"/>
        <v>0</v>
      </c>
      <c r="AG26" s="40">
        <f t="shared" si="7"/>
        <v>0</v>
      </c>
    </row>
    <row r="27" spans="2:33" x14ac:dyDescent="0.4"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pans="2:33" x14ac:dyDescent="0.4">
      <c r="C28" s="1" t="s">
        <v>62</v>
      </c>
      <c r="D28" s="9">
        <f>IFERROR(-INDEX(Debt!$B$7:$K$45,MATCH(D$6,Debt!$B$7:$B$44,0),(MATCH(TRIM($C28),Debt!$B$7:$K$7,0))),0)</f>
        <v>-80278.199973910741</v>
      </c>
      <c r="E28" s="9">
        <f>IFERROR(-INDEX(Debt!$B$7:$K$45,MATCH(E$6,Debt!$B$7:$B$44,0),(MATCH(TRIM($C28),Debt!$B$7:$K$7,0))),0)</f>
        <v>-79730.137369866541</v>
      </c>
      <c r="F28" s="9">
        <f>IFERROR(-INDEX(Debt!$B$7:$K$45,MATCH(F$6,Debt!$B$7:$B$44,0),(MATCH(TRIM($C28),Debt!$B$7:$K$7,0))),0)</f>
        <v>-75430.774371693202</v>
      </c>
      <c r="G28" s="9">
        <f>IFERROR(-INDEX(Debt!$B$7:$K$45,MATCH(G$6,Debt!$B$7:$B$44,0),(MATCH(TRIM($C28),Debt!$B$7:$K$7,0))),0)</f>
        <v>-70956.314833211189</v>
      </c>
      <c r="H28" s="9">
        <f>IFERROR(-INDEX(Debt!$B$7:$K$45,MATCH(H$6,Debt!$B$7:$B$44,0),(MATCH(TRIM($C28),Debt!$B$7:$K$7,0))),0)</f>
        <v>-66298.150192576286</v>
      </c>
      <c r="I28" s="9">
        <f>IFERROR(-INDEX(Debt!$B$7:$K$45,MATCH(I$6,Debt!$B$7:$B$44,0),(MATCH(TRIM($C28),Debt!$B$7:$K$7,0))),0)</f>
        <v>-61447.246338656521</v>
      </c>
      <c r="J28" s="9">
        <f>IFERROR(-INDEX(Debt!$B$7:$K$45,MATCH(J$6,Debt!$B$7:$B$44,0),(MATCH(TRIM($C28),Debt!$B$7:$K$7,0))),0)</f>
        <v>-56394.122425283414</v>
      </c>
      <c r="K28" s="9">
        <f>IFERROR(-INDEX(Debt!$B$7:$K$45,MATCH(K$6,Debt!$B$7:$B$44,0),(MATCH(TRIM($C28),Debt!$B$7:$K$7,0))),0)</f>
        <v>-51128.828628067604</v>
      </c>
      <c r="L28" s="9">
        <f>IFERROR(-INDEX(Debt!$B$7:$K$45,MATCH(L$6,Debt!$B$7:$B$44,0),(MATCH(TRIM($C28),Debt!$B$7:$K$7,0))),0)</f>
        <v>-45640.922790944183</v>
      </c>
      <c r="M28" s="9">
        <f>IFERROR(-INDEX(Debt!$B$7:$K$45,MATCH(M$6,Debt!$B$7:$B$44,0),(MATCH(TRIM($C28),Debt!$B$7:$K$7,0))),0)</f>
        <v>-39919.445906971872</v>
      </c>
      <c r="N28" s="9">
        <f>IFERROR(-INDEX(Debt!$B$7:$K$45,MATCH(N$6,Debt!$B$7:$B$44,0),(MATCH(TRIM($C28),Debt!$B$7:$K$7,0))),0)</f>
        <v>-33952.896375137228</v>
      </c>
      <c r="O28" s="9">
        <f>IFERROR(-INDEX(Debt!$B$7:$K$45,MATCH(O$6,Debt!$B$7:$B$44,0),(MATCH(TRIM($C28),Debt!$B$7:$K$7,0))),0)</f>
        <v>-27729.202972003448</v>
      </c>
      <c r="P28" s="9">
        <f>IFERROR(-INDEX(Debt!$B$7:$K$45,MATCH(P$6,Debt!$B$7:$B$44,0),(MATCH(TRIM($C28),Debt!$B$7:$K$7,0))),0)</f>
        <v>-21235.696473985918</v>
      </c>
      <c r="Q28" s="9">
        <f>IFERROR(-INDEX(Debt!$B$7:$K$45,MATCH(Q$6,Debt!$B$7:$B$44,0),(MATCH(TRIM($C28),Debt!$B$7:$K$7,0))),0)</f>
        <v>-14459.079862826778</v>
      </c>
      <c r="R28" s="9">
        <f>IFERROR(-INDEX(Debt!$B$7:$K$45,MATCH(R$6,Debt!$B$7:$B$44,0),(MATCH(TRIM($C28),Debt!$B$7:$K$7,0))),0)</f>
        <v>-7385.3970434700504</v>
      </c>
      <c r="S28" s="9">
        <f>IFERROR(-INDEX(Debt!$B$7:$K$45,MATCH(S$6,Debt!$B$7:$B$44,0),(MATCH(TRIM($C28),Debt!$B$7:$K$7,0))),0)</f>
        <v>0</v>
      </c>
      <c r="T28" s="9">
        <f>IFERROR(-INDEX(Debt!$B$7:$K$45,MATCH(T$6,Debt!$B$7:$B$44,0),(MATCH(TRIM($C28),Debt!$B$7:$K$7,0))),0)</f>
        <v>0</v>
      </c>
      <c r="U28" s="9">
        <f>IFERROR(-INDEX(Debt!$B$7:$K$45,MATCH(U$6,Debt!$B$7:$B$44,0),(MATCH(TRIM($C28),Debt!$B$7:$K$7,0))),0)</f>
        <v>0</v>
      </c>
      <c r="V28" s="9">
        <f>IFERROR(-INDEX(Debt!$B$7:$K$45,MATCH(V$6,Debt!$B$7:$B$44,0),(MATCH(TRIM($C28),Debt!$B$7:$K$7,0))),0)</f>
        <v>0</v>
      </c>
      <c r="W28" s="9">
        <f>IFERROR(-INDEX(Debt!$B$7:$K$45,MATCH(W$6,Debt!$B$7:$B$44,0),(MATCH(TRIM($C28),Debt!$B$7:$K$7,0))),0)</f>
        <v>0</v>
      </c>
      <c r="X28" s="9">
        <f>IFERROR(-INDEX(Debt!$B$7:$K$45,MATCH(X$6,Debt!$B$7:$B$44,0),(MATCH(TRIM($C28),Debt!$B$7:$K$7,0))),0)</f>
        <v>0</v>
      </c>
      <c r="Y28" s="9">
        <f>IFERROR(-INDEX(Debt!$B$7:$K$45,MATCH(Y$6,Debt!$B$7:$B$44,0),(MATCH(TRIM($C28),Debt!$B$7:$K$7,0))),0)</f>
        <v>0</v>
      </c>
      <c r="Z28" s="9">
        <f>IFERROR(-INDEX(Debt!$B$7:$K$45,MATCH(Z$6,Debt!$B$7:$B$44,0),(MATCH(TRIM($C28),Debt!$B$7:$K$7,0))),0)</f>
        <v>0</v>
      </c>
      <c r="AA28" s="9">
        <f>IFERROR(-INDEX(Debt!$B$7:$K$45,MATCH(AA$6,Debt!$B$7:$B$44,0),(MATCH(TRIM($C28),Debt!$B$7:$K$7,0))),0)</f>
        <v>0</v>
      </c>
      <c r="AB28" s="9">
        <f>IFERROR(-INDEX(Debt!$B$7:$K$45,MATCH(AB$6,Debt!$B$7:$B$44,0),(MATCH(TRIM($C28),Debt!$B$7:$K$7,0))),0)</f>
        <v>0</v>
      </c>
      <c r="AC28" s="9">
        <f>IFERROR(-INDEX(Debt!$B$7:$K$45,MATCH(AC$6,Debt!$B$7:$B$44,0),(MATCH(TRIM($C28),Debt!$B$7:$K$7,0))),0)</f>
        <v>0</v>
      </c>
      <c r="AD28" s="9">
        <f>IFERROR(-INDEX(Debt!$B$7:$K$45,MATCH(AD$6,Debt!$B$7:$B$44,0),(MATCH(TRIM($C28),Debt!$B$7:$K$7,0))),0)</f>
        <v>0</v>
      </c>
      <c r="AE28" s="9">
        <f>IFERROR(-INDEX(Debt!$B$7:$K$45,MATCH(AE$6,Debt!$B$7:$B$44,0),(MATCH(TRIM($C28),Debt!$B$7:$K$7,0))),0)</f>
        <v>0</v>
      </c>
      <c r="AF28" s="9">
        <f>IFERROR(-INDEX(Debt!$B$7:$K$45,MATCH(AF$6,Debt!$B$7:$B$44,0),(MATCH(TRIM($C28),Debt!$B$7:$K$7,0))),0)</f>
        <v>0</v>
      </c>
      <c r="AG28" s="9">
        <f>IFERROR(-INDEX(Debt!$B$7:$K$45,MATCH(AG$6,Debt!$B$7:$B$44,0),(MATCH(TRIM($C28),Debt!$B$7:$K$7,0))),0)</f>
        <v>0</v>
      </c>
    </row>
    <row r="29" spans="2:33" ht="11.7" thickBot="1" x14ac:dyDescent="0.45"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pans="2:33" ht="11.7" thickBot="1" x14ac:dyDescent="0.45">
      <c r="C30" s="7" t="s">
        <v>64</v>
      </c>
      <c r="D30" s="29">
        <f>D26-D28</f>
        <v>217137.37805610249</v>
      </c>
      <c r="E30" s="29">
        <f t="shared" ref="E30:R30" si="8">E26-E28</f>
        <v>-4636101.7666301336</v>
      </c>
      <c r="F30" s="29">
        <f t="shared" si="8"/>
        <v>322810.72208369325</v>
      </c>
      <c r="G30" s="29">
        <f t="shared" si="8"/>
        <v>317135.7263020752</v>
      </c>
      <c r="H30" s="29">
        <f t="shared" si="8"/>
        <v>311272.49109903374</v>
      </c>
      <c r="I30" s="29">
        <f t="shared" si="8"/>
        <v>305211.83324783453</v>
      </c>
      <c r="J30" s="29">
        <f t="shared" si="8"/>
        <v>298944.11997968273</v>
      </c>
      <c r="K30" s="29">
        <f t="shared" si="8"/>
        <v>292459.24668387155</v>
      </c>
      <c r="L30" s="29">
        <f t="shared" si="8"/>
        <v>285746.61349652981</v>
      </c>
      <c r="M30" s="29">
        <f t="shared" si="8"/>
        <v>278795.10072246892</v>
      </c>
      <c r="N30" s="29">
        <f t="shared" si="8"/>
        <v>271593.04303185636</v>
      </c>
      <c r="O30" s="29">
        <f t="shared" si="8"/>
        <v>264128.20237053448</v>
      </c>
      <c r="P30" s="29">
        <f t="shared" si="8"/>
        <v>256387.739519739</v>
      </c>
      <c r="Q30" s="29">
        <f t="shared" si="8"/>
        <v>248358.18423776873</v>
      </c>
      <c r="R30" s="29">
        <f t="shared" si="8"/>
        <v>240025.4039127797</v>
      </c>
      <c r="S30" s="29">
        <f t="shared" ref="S30:AG30" si="9">S26-S28</f>
        <v>0</v>
      </c>
      <c r="T30" s="29">
        <f t="shared" si="9"/>
        <v>0</v>
      </c>
      <c r="U30" s="29">
        <f t="shared" si="9"/>
        <v>0</v>
      </c>
      <c r="V30" s="29">
        <f t="shared" si="9"/>
        <v>0</v>
      </c>
      <c r="W30" s="29">
        <f t="shared" si="9"/>
        <v>0</v>
      </c>
      <c r="X30" s="29">
        <f t="shared" si="9"/>
        <v>0</v>
      </c>
      <c r="Y30" s="29">
        <f t="shared" si="9"/>
        <v>0</v>
      </c>
      <c r="Z30" s="29">
        <f t="shared" si="9"/>
        <v>0</v>
      </c>
      <c r="AA30" s="29">
        <f t="shared" si="9"/>
        <v>0</v>
      </c>
      <c r="AB30" s="29">
        <f t="shared" si="9"/>
        <v>0</v>
      </c>
      <c r="AC30" s="29">
        <f t="shared" si="9"/>
        <v>0</v>
      </c>
      <c r="AD30" s="29">
        <f t="shared" si="9"/>
        <v>0</v>
      </c>
      <c r="AE30" s="29">
        <f t="shared" si="9"/>
        <v>0</v>
      </c>
      <c r="AF30" s="29">
        <f t="shared" si="9"/>
        <v>0</v>
      </c>
      <c r="AG30" s="29">
        <f t="shared" si="9"/>
        <v>0</v>
      </c>
    </row>
    <row r="31" spans="2:33" ht="11.7" thickBot="1" x14ac:dyDescent="0.45"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spans="2:33" ht="11.7" thickBot="1" x14ac:dyDescent="0.45">
      <c r="C32" s="7" t="str">
        <f>"EBITDA "&amp;B2</f>
        <v>EBITDA P50</v>
      </c>
      <c r="D32" s="30">
        <f ca="1">OFFSET(D35,(IF(B2="P50",0,2)),0)</f>
        <v>136859.17808219176</v>
      </c>
      <c r="E32" s="30">
        <f t="shared" ref="E32:R32" ca="1" si="10">OFFSET(E35,(IF(C2="P50",0,2)),0)</f>
        <v>208939.84255999979</v>
      </c>
      <c r="F32" s="30">
        <f t="shared" ca="1" si="10"/>
        <v>207862.60303232004</v>
      </c>
      <c r="G32" s="30">
        <f t="shared" ca="1" si="10"/>
        <v>206780.61882322302</v>
      </c>
      <c r="H32" s="30">
        <f t="shared" ca="1" si="10"/>
        <v>205693.74463875339</v>
      </c>
      <c r="I32" s="30">
        <f t="shared" ca="1" si="10"/>
        <v>204601.83243027708</v>
      </c>
      <c r="J32" s="30">
        <f t="shared" ca="1" si="10"/>
        <v>203504.73133893509</v>
      </c>
      <c r="K32" s="30">
        <f t="shared" ca="1" si="10"/>
        <v>202402.2876389861</v>
      </c>
      <c r="L32" s="30">
        <f t="shared" ca="1" si="10"/>
        <v>201294.34468001826</v>
      </c>
      <c r="M32" s="30">
        <f t="shared" ca="1" si="10"/>
        <v>200180.74282800633</v>
      </c>
      <c r="N32" s="30">
        <f t="shared" ca="1" si="10"/>
        <v>199061.31940519094</v>
      </c>
      <c r="O32" s="30">
        <f t="shared" ca="1" si="10"/>
        <v>197935.9086287574</v>
      </c>
      <c r="P32" s="30">
        <f t="shared" ca="1" si="10"/>
        <v>196804.34154828879</v>
      </c>
      <c r="Q32" s="30">
        <f t="shared" ca="1" si="10"/>
        <v>195666.44598197006</v>
      </c>
      <c r="R32" s="30">
        <f t="shared" ca="1" si="10"/>
        <v>194522.04645151668</v>
      </c>
      <c r="S32" s="30">
        <f t="shared" ref="S32" ca="1" si="11">OFFSET(S35,(IF(Q2="P50",0,2)),0)</f>
        <v>0</v>
      </c>
      <c r="T32" s="30">
        <f t="shared" ref="T32" ca="1" si="12">OFFSET(T35,(IF(R2="P50",0,2)),0)</f>
        <v>0</v>
      </c>
      <c r="U32" s="30">
        <f t="shared" ref="U32" ca="1" si="13">OFFSET(U35,(IF(S2="P50",0,2)),0)</f>
        <v>0</v>
      </c>
      <c r="V32" s="30">
        <f t="shared" ref="V32" ca="1" si="14">OFFSET(V35,(IF(T2="P50",0,2)),0)</f>
        <v>0</v>
      </c>
      <c r="W32" s="30">
        <f t="shared" ref="W32" ca="1" si="15">OFFSET(W35,(IF(U2="P50",0,2)),0)</f>
        <v>0</v>
      </c>
      <c r="X32" s="30">
        <f t="shared" ref="X32" ca="1" si="16">OFFSET(X35,(IF(V2="P50",0,2)),0)</f>
        <v>0</v>
      </c>
      <c r="Y32" s="30">
        <f t="shared" ref="Y32" ca="1" si="17">OFFSET(Y35,(IF(W2="P50",0,2)),0)</f>
        <v>0</v>
      </c>
      <c r="Z32" s="30">
        <f t="shared" ref="Z32" ca="1" si="18">OFFSET(Z35,(IF(X2="P50",0,2)),0)</f>
        <v>0</v>
      </c>
      <c r="AA32" s="30">
        <f t="shared" ref="AA32" ca="1" si="19">OFFSET(AA35,(IF(Y2="P50",0,2)),0)</f>
        <v>0</v>
      </c>
      <c r="AB32" s="30">
        <f t="shared" ref="AB32" ca="1" si="20">OFFSET(AB35,(IF(Z2="P50",0,2)),0)</f>
        <v>0</v>
      </c>
      <c r="AC32" s="30">
        <f t="shared" ref="AC32" ca="1" si="21">OFFSET(AC35,(IF(AA2="P50",0,2)),0)</f>
        <v>0</v>
      </c>
      <c r="AD32" s="30">
        <f t="shared" ref="AD32" ca="1" si="22">OFFSET(AD35,(IF(AB2="P50",0,2)),0)</f>
        <v>0</v>
      </c>
      <c r="AE32" s="30">
        <f t="shared" ref="AE32" ca="1" si="23">OFFSET(AE35,(IF(AC2="P50",0,2)),0)</f>
        <v>0</v>
      </c>
      <c r="AF32" s="30">
        <f t="shared" ref="AF32" ca="1" si="24">OFFSET(AF35,(IF(AD2="P50",0,2)),0)</f>
        <v>0</v>
      </c>
      <c r="AG32" s="30">
        <f t="shared" ref="AG32" ca="1" si="25">OFFSET(AG35,(IF(AE2="P50",0,2)),0)</f>
        <v>0</v>
      </c>
    </row>
    <row r="33" spans="2:33" x14ac:dyDescent="0.4"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spans="2:33" outlineLevel="1" x14ac:dyDescent="0.4">
      <c r="C34" s="1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spans="2:33" outlineLevel="1" x14ac:dyDescent="0.4">
      <c r="C35" s="11" t="s">
        <v>52</v>
      </c>
      <c r="D35" s="27">
        <f t="shared" ref="D35:R35" si="26">D26+D24</f>
        <v>136859.17808219176</v>
      </c>
      <c r="E35" s="27">
        <f t="shared" si="26"/>
        <v>248576.0959999999</v>
      </c>
      <c r="F35" s="27">
        <f t="shared" si="26"/>
        <v>247379.94771200005</v>
      </c>
      <c r="G35" s="27">
        <f t="shared" si="26"/>
        <v>246179.41146886398</v>
      </c>
      <c r="H35" s="27">
        <f t="shared" si="26"/>
        <v>244974.34090645742</v>
      </c>
      <c r="I35" s="27">
        <f t="shared" si="26"/>
        <v>243764.586909178</v>
      </c>
      <c r="J35" s="27">
        <f t="shared" si="26"/>
        <v>242549.99755439931</v>
      </c>
      <c r="K35" s="27">
        <f t="shared" si="26"/>
        <v>241330.41805580395</v>
      </c>
      <c r="L35" s="27">
        <f t="shared" si="26"/>
        <v>240105.69070558564</v>
      </c>
      <c r="M35" s="27">
        <f t="shared" si="26"/>
        <v>238875.65481549702</v>
      </c>
      <c r="N35" s="27">
        <f t="shared" si="26"/>
        <v>237640.14665671915</v>
      </c>
      <c r="O35" s="27">
        <f t="shared" si="26"/>
        <v>236398.99939853104</v>
      </c>
      <c r="P35" s="27">
        <f t="shared" si="26"/>
        <v>235152.04304575309</v>
      </c>
      <c r="Q35" s="27">
        <f t="shared" si="26"/>
        <v>233899.10437494196</v>
      </c>
      <c r="R35" s="27">
        <f t="shared" si="26"/>
        <v>232640.00686930964</v>
      </c>
      <c r="S35" s="27">
        <f t="shared" ref="S35:AG35" si="27">S26+S24</f>
        <v>0</v>
      </c>
      <c r="T35" s="27">
        <f t="shared" si="27"/>
        <v>0</v>
      </c>
      <c r="U35" s="27">
        <f t="shared" si="27"/>
        <v>0</v>
      </c>
      <c r="V35" s="27">
        <f t="shared" si="27"/>
        <v>0</v>
      </c>
      <c r="W35" s="27">
        <f t="shared" si="27"/>
        <v>0</v>
      </c>
      <c r="X35" s="27">
        <f t="shared" si="27"/>
        <v>0</v>
      </c>
      <c r="Y35" s="27">
        <f t="shared" si="27"/>
        <v>0</v>
      </c>
      <c r="Z35" s="27">
        <f t="shared" si="27"/>
        <v>0</v>
      </c>
      <c r="AA35" s="27">
        <f t="shared" si="27"/>
        <v>0</v>
      </c>
      <c r="AB35" s="27">
        <f t="shared" si="27"/>
        <v>0</v>
      </c>
      <c r="AC35" s="27">
        <f t="shared" si="27"/>
        <v>0</v>
      </c>
      <c r="AD35" s="27">
        <f t="shared" si="27"/>
        <v>0</v>
      </c>
      <c r="AE35" s="27">
        <f t="shared" si="27"/>
        <v>0</v>
      </c>
      <c r="AF35" s="27">
        <f t="shared" si="27"/>
        <v>0</v>
      </c>
      <c r="AG35" s="27">
        <f t="shared" si="27"/>
        <v>0</v>
      </c>
    </row>
    <row r="36" spans="2:33" outlineLevel="1" x14ac:dyDescent="0.4">
      <c r="C36" s="11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</row>
    <row r="37" spans="2:33" outlineLevel="1" x14ac:dyDescent="0.4">
      <c r="C37" s="11" t="s">
        <v>53</v>
      </c>
      <c r="D37" s="27">
        <f>(((D15*'Summary Inputs &amp; Assumptions'!$F$25)-SUM(D18:D24)))+D24</f>
        <v>115075.3315068493</v>
      </c>
      <c r="E37" s="27">
        <f>(((E15*'Summary Inputs &amp; Assumptions'!$F$25)-SUM(E18:E24)))+E24</f>
        <v>208939.84255999979</v>
      </c>
      <c r="F37" s="27">
        <f>(((F15*'Summary Inputs &amp; Assumptions'!$F$25)-SUM(F18:F24)))+F24</f>
        <v>207862.60303232004</v>
      </c>
      <c r="G37" s="27">
        <f>(((G15*'Summary Inputs &amp; Assumptions'!$F$25)-SUM(G18:G24)))+G24</f>
        <v>206780.61882322302</v>
      </c>
      <c r="H37" s="27">
        <f>(((H15*'Summary Inputs &amp; Assumptions'!$F$25)-SUM(H18:H24)))+H24</f>
        <v>205693.74463875339</v>
      </c>
      <c r="I37" s="27">
        <f>(((I15*'Summary Inputs &amp; Assumptions'!$F$25)-SUM(I18:I24)))+I24</f>
        <v>204601.83243027708</v>
      </c>
      <c r="J37" s="27">
        <f>(((J15*'Summary Inputs &amp; Assumptions'!$F$25)-SUM(J18:J24)))+J24</f>
        <v>203504.73133893509</v>
      </c>
      <c r="K37" s="27">
        <f>(((K15*'Summary Inputs &amp; Assumptions'!$F$25)-SUM(K18:K24)))+K24</f>
        <v>202402.2876389861</v>
      </c>
      <c r="L37" s="27">
        <f>(((L15*'Summary Inputs &amp; Assumptions'!$F$25)-SUM(L18:L24)))+L24</f>
        <v>201294.34468001826</v>
      </c>
      <c r="M37" s="27">
        <f>(((M15*'Summary Inputs &amp; Assumptions'!$F$25)-SUM(M18:M24)))+M24</f>
        <v>200180.74282800633</v>
      </c>
      <c r="N37" s="27">
        <f>(((N15*'Summary Inputs &amp; Assumptions'!$F$25)-SUM(N18:N24)))+N24</f>
        <v>199061.31940519094</v>
      </c>
      <c r="O37" s="27">
        <f>(((O15*'Summary Inputs &amp; Assumptions'!$F$25)-SUM(O18:O24)))+O24</f>
        <v>197935.9086287574</v>
      </c>
      <c r="P37" s="27">
        <f>(((P15*'Summary Inputs &amp; Assumptions'!$F$25)-SUM(P18:P24)))+P24</f>
        <v>196804.34154828879</v>
      </c>
      <c r="Q37" s="27">
        <f>(((Q15*'Summary Inputs &amp; Assumptions'!$F$25)-SUM(Q18:Q24)))+Q24</f>
        <v>195666.44598197006</v>
      </c>
      <c r="R37" s="27">
        <f>(((R15*'Summary Inputs &amp; Assumptions'!$F$25)-SUM(R18:R24)))+R24</f>
        <v>194522.04645151668</v>
      </c>
      <c r="S37" s="27">
        <f>(((S15*'Summary Inputs &amp; Assumptions'!$F$25)-SUM(S18:S24)))+S24</f>
        <v>0</v>
      </c>
      <c r="T37" s="27">
        <f>(((T15*'Summary Inputs &amp; Assumptions'!$F$25)-SUM(T18:T24)))+T24</f>
        <v>0</v>
      </c>
      <c r="U37" s="27">
        <f>(((U15*'Summary Inputs &amp; Assumptions'!$F$25)-SUM(U18:U24)))+U24</f>
        <v>0</v>
      </c>
      <c r="V37" s="27">
        <f>(((V15*'Summary Inputs &amp; Assumptions'!$F$25)-SUM(V18:V24)))+V24</f>
        <v>0</v>
      </c>
      <c r="W37" s="27">
        <f>(((W15*'Summary Inputs &amp; Assumptions'!$F$25)-SUM(W18:W24)))+W24</f>
        <v>0</v>
      </c>
      <c r="X37" s="27">
        <f>(((X15*'Summary Inputs &amp; Assumptions'!$F$25)-SUM(X18:X24)))+X24</f>
        <v>0</v>
      </c>
      <c r="Y37" s="27">
        <f>(((Y15*'Summary Inputs &amp; Assumptions'!$F$25)-SUM(Y18:Y24)))+Y24</f>
        <v>0</v>
      </c>
      <c r="Z37" s="27">
        <f>(((Z15*'Summary Inputs &amp; Assumptions'!$F$25)-SUM(Z18:Z24)))+Z24</f>
        <v>0</v>
      </c>
      <c r="AA37" s="27">
        <f>(((AA15*'Summary Inputs &amp; Assumptions'!$F$25)-SUM(AA18:AA24)))+AA24</f>
        <v>0</v>
      </c>
      <c r="AB37" s="27">
        <f>(((AB15*'Summary Inputs &amp; Assumptions'!$F$25)-SUM(AB18:AB24)))+AB24</f>
        <v>0</v>
      </c>
      <c r="AC37" s="27">
        <f>(((AC15*'Summary Inputs &amp; Assumptions'!$F$25)-SUM(AC18:AC24)))+AC24</f>
        <v>0</v>
      </c>
      <c r="AD37" s="27">
        <f>(((AD15*'Summary Inputs &amp; Assumptions'!$F$25)-SUM(AD18:AD24)))+AD24</f>
        <v>0</v>
      </c>
      <c r="AE37" s="27">
        <f>(((AE15*'Summary Inputs &amp; Assumptions'!$F$25)-SUM(AE18:AE24)))+AE24</f>
        <v>0</v>
      </c>
      <c r="AF37" s="27">
        <f>(((AF15*'Summary Inputs &amp; Assumptions'!$F$25)-SUM(AF18:AF24)))+AF24</f>
        <v>0</v>
      </c>
      <c r="AG37" s="27">
        <f>(((AG15*'Summary Inputs &amp; Assumptions'!$F$25)-SUM(AG18:AG24)))+AG24</f>
        <v>0</v>
      </c>
    </row>
    <row r="38" spans="2:33" x14ac:dyDescent="0.4"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</row>
    <row r="43" spans="2:33" ht="12.3" x14ac:dyDescent="0.4">
      <c r="B43" s="106" t="s">
        <v>97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</row>
    <row r="45" spans="2:33" ht="11.7" thickBot="1" x14ac:dyDescent="0.45">
      <c r="C45" s="46" t="str">
        <f>C6</f>
        <v>Year</v>
      </c>
      <c r="D45" s="41">
        <f t="shared" ref="D45:R45" si="28">D6</f>
        <v>2022</v>
      </c>
      <c r="E45" s="41">
        <f t="shared" si="28"/>
        <v>2023</v>
      </c>
      <c r="F45" s="41">
        <f t="shared" si="28"/>
        <v>2024</v>
      </c>
      <c r="G45" s="41">
        <f t="shared" si="28"/>
        <v>2025</v>
      </c>
      <c r="H45" s="41">
        <f t="shared" si="28"/>
        <v>2026</v>
      </c>
      <c r="I45" s="41">
        <f t="shared" si="28"/>
        <v>2027</v>
      </c>
      <c r="J45" s="41">
        <f t="shared" si="28"/>
        <v>2028</v>
      </c>
      <c r="K45" s="41">
        <f t="shared" si="28"/>
        <v>2029</v>
      </c>
      <c r="L45" s="41">
        <f t="shared" si="28"/>
        <v>2030</v>
      </c>
      <c r="M45" s="41">
        <f t="shared" si="28"/>
        <v>2031</v>
      </c>
      <c r="N45" s="41">
        <f t="shared" si="28"/>
        <v>2032</v>
      </c>
      <c r="O45" s="41">
        <f t="shared" si="28"/>
        <v>2033</v>
      </c>
      <c r="P45" s="41">
        <f t="shared" si="28"/>
        <v>2034</v>
      </c>
      <c r="Q45" s="41">
        <f t="shared" si="28"/>
        <v>2035</v>
      </c>
      <c r="R45" s="41">
        <f t="shared" si="28"/>
        <v>2036</v>
      </c>
      <c r="S45" s="41">
        <f t="shared" ref="S45:AG45" si="29">S6</f>
        <v>0</v>
      </c>
      <c r="T45" s="41">
        <f t="shared" si="29"/>
        <v>0</v>
      </c>
      <c r="U45" s="41">
        <f t="shared" si="29"/>
        <v>0</v>
      </c>
      <c r="V45" s="41">
        <f t="shared" si="29"/>
        <v>0</v>
      </c>
      <c r="W45" s="41">
        <f t="shared" si="29"/>
        <v>0</v>
      </c>
      <c r="X45" s="41">
        <f t="shared" si="29"/>
        <v>0</v>
      </c>
      <c r="Y45" s="41">
        <f t="shared" si="29"/>
        <v>0</v>
      </c>
      <c r="Z45" s="41">
        <f t="shared" si="29"/>
        <v>0</v>
      </c>
      <c r="AA45" s="41">
        <f t="shared" si="29"/>
        <v>0</v>
      </c>
      <c r="AB45" s="41">
        <f t="shared" si="29"/>
        <v>0</v>
      </c>
      <c r="AC45" s="41">
        <f t="shared" si="29"/>
        <v>0</v>
      </c>
      <c r="AD45" s="41">
        <f t="shared" si="29"/>
        <v>0</v>
      </c>
      <c r="AE45" s="41">
        <f t="shared" si="29"/>
        <v>0</v>
      </c>
      <c r="AF45" s="41">
        <f t="shared" si="29"/>
        <v>0</v>
      </c>
      <c r="AG45" s="41">
        <f t="shared" si="29"/>
        <v>0</v>
      </c>
    </row>
    <row r="46" spans="2:33" x14ac:dyDescent="0.4">
      <c r="C46" s="46"/>
    </row>
    <row r="47" spans="2:33" x14ac:dyDescent="0.4">
      <c r="B47" s="1" t="s">
        <v>70</v>
      </c>
    </row>
    <row r="48" spans="2:33" x14ac:dyDescent="0.4">
      <c r="C48" s="1" t="s">
        <v>68</v>
      </c>
      <c r="D48" s="13">
        <f>_xlfn.IFNA(D98,0)</f>
        <v>4592703.4580561025</v>
      </c>
      <c r="E48" s="13">
        <f t="shared" ref="E48:AG48" si="30">_xlfn.IFNA(E98,0)</f>
        <v>1309274.3593450855</v>
      </c>
      <c r="F48" s="13">
        <f t="shared" si="30"/>
        <v>1546097.821465312</v>
      </c>
      <c r="G48" s="13">
        <f t="shared" si="30"/>
        <v>1773744.356997747</v>
      </c>
      <c r="H48" s="13">
        <f t="shared" si="30"/>
        <v>1991853.5552840827</v>
      </c>
      <c r="I48" s="13">
        <f t="shared" si="30"/>
        <v>2200047.3114535217</v>
      </c>
      <c r="J48" s="13">
        <f t="shared" si="30"/>
        <v>2397928.9531657421</v>
      </c>
      <c r="K48" s="13">
        <f t="shared" si="30"/>
        <v>2585082.3239052976</v>
      </c>
      <c r="L48" s="13">
        <f t="shared" si="30"/>
        <v>2761070.820659359</v>
      </c>
      <c r="M48" s="13">
        <f t="shared" si="30"/>
        <v>2925436.3837023815</v>
      </c>
      <c r="N48" s="13">
        <f t="shared" si="30"/>
        <v>3077698.4360975451</v>
      </c>
      <c r="O48" s="13">
        <f t="shared" si="30"/>
        <v>3217352.7704054038</v>
      </c>
      <c r="P48" s="13">
        <f t="shared" si="30"/>
        <v>3343870.3799647922</v>
      </c>
      <c r="Q48" s="13">
        <f t="shared" si="30"/>
        <v>3456696.231979378</v>
      </c>
      <c r="R48" s="13">
        <f t="shared" si="30"/>
        <v>3555247.979505023</v>
      </c>
      <c r="S48" s="13">
        <f t="shared" si="30"/>
        <v>0</v>
      </c>
      <c r="T48" s="13">
        <f t="shared" si="30"/>
        <v>0</v>
      </c>
      <c r="U48" s="13">
        <f t="shared" si="30"/>
        <v>0</v>
      </c>
      <c r="V48" s="13">
        <f t="shared" si="30"/>
        <v>0</v>
      </c>
      <c r="W48" s="13">
        <f t="shared" si="30"/>
        <v>0</v>
      </c>
      <c r="X48" s="13">
        <f t="shared" si="30"/>
        <v>0</v>
      </c>
      <c r="Y48" s="13">
        <f t="shared" si="30"/>
        <v>0</v>
      </c>
      <c r="Z48" s="13">
        <f t="shared" si="30"/>
        <v>0</v>
      </c>
      <c r="AA48" s="13">
        <f t="shared" si="30"/>
        <v>0</v>
      </c>
      <c r="AB48" s="13">
        <f t="shared" si="30"/>
        <v>0</v>
      </c>
      <c r="AC48" s="13">
        <f t="shared" si="30"/>
        <v>0</v>
      </c>
      <c r="AD48" s="13">
        <f t="shared" si="30"/>
        <v>0</v>
      </c>
      <c r="AE48" s="13">
        <f t="shared" si="30"/>
        <v>0</v>
      </c>
      <c r="AF48" s="13">
        <f t="shared" si="30"/>
        <v>0</v>
      </c>
      <c r="AG48" s="13">
        <f t="shared" si="30"/>
        <v>0</v>
      </c>
    </row>
    <row r="49" spans="2:33" x14ac:dyDescent="0.4">
      <c r="C49" s="1" t="s">
        <v>72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</row>
    <row r="51" spans="2:33" x14ac:dyDescent="0.4">
      <c r="B51" s="1" t="s">
        <v>69</v>
      </c>
    </row>
    <row r="52" spans="2:33" x14ac:dyDescent="0.4">
      <c r="C52" s="1" t="s">
        <v>50</v>
      </c>
      <c r="D52" s="27">
        <f>IF(D$6&gt;=YEAR('Summary Inputs &amp; Assumptions'!$T$9),'Summary Inputs &amp; Assumptions'!$L$23,0)</f>
        <v>0</v>
      </c>
      <c r="E52" s="27">
        <f>IF(E$6&gt;=YEAR('Summary Inputs &amp; Assumptions'!$T$9),'Summary Inputs &amp; Assumptions'!$L$23,0)</f>
        <v>4964408</v>
      </c>
      <c r="F52" s="27">
        <f>IF(F$6&gt;=YEAR('Summary Inputs &amp; Assumptions'!$T$9),'Summary Inputs &amp; Assumptions'!$L$23,0)</f>
        <v>4964408</v>
      </c>
      <c r="G52" s="27">
        <f>IF(G$6&gt;=YEAR('Summary Inputs &amp; Assumptions'!$T$9),'Summary Inputs &amp; Assumptions'!$L$23,0)</f>
        <v>4964408</v>
      </c>
      <c r="H52" s="27">
        <f>IF(H$6&gt;=YEAR('Summary Inputs &amp; Assumptions'!$T$9),'Summary Inputs &amp; Assumptions'!$L$23,0)</f>
        <v>4964408</v>
      </c>
      <c r="I52" s="27">
        <f>IF(I$6&gt;=YEAR('Summary Inputs &amp; Assumptions'!$T$9),'Summary Inputs &amp; Assumptions'!$L$23,0)</f>
        <v>4964408</v>
      </c>
      <c r="J52" s="27">
        <f>IF(J$6&gt;=YEAR('Summary Inputs &amp; Assumptions'!$T$9),'Summary Inputs &amp; Assumptions'!$L$23,0)</f>
        <v>4964408</v>
      </c>
      <c r="K52" s="27">
        <f>IF(K$6&gt;=YEAR('Summary Inputs &amp; Assumptions'!$T$9),'Summary Inputs &amp; Assumptions'!$L$23,0)</f>
        <v>4964408</v>
      </c>
      <c r="L52" s="27">
        <f>IF(L$6&gt;=YEAR('Summary Inputs &amp; Assumptions'!$T$9),'Summary Inputs &amp; Assumptions'!$L$23,0)</f>
        <v>4964408</v>
      </c>
      <c r="M52" s="27">
        <f>IF(M$6&gt;=YEAR('Summary Inputs &amp; Assumptions'!$T$9),'Summary Inputs &amp; Assumptions'!$L$23,0)</f>
        <v>4964408</v>
      </c>
      <c r="N52" s="27">
        <f>IF(N$6&gt;=YEAR('Summary Inputs &amp; Assumptions'!$T$9),'Summary Inputs &amp; Assumptions'!$L$23,0)</f>
        <v>4964408</v>
      </c>
      <c r="O52" s="27">
        <f>IF(O$6&gt;=YEAR('Summary Inputs &amp; Assumptions'!$T$9),'Summary Inputs &amp; Assumptions'!$L$23,0)</f>
        <v>4964408</v>
      </c>
      <c r="P52" s="27">
        <f>IF(P$6&gt;=YEAR('Summary Inputs &amp; Assumptions'!$T$9),'Summary Inputs &amp; Assumptions'!$L$23,0)</f>
        <v>4964408</v>
      </c>
      <c r="Q52" s="27">
        <f>IF(Q$6&gt;=YEAR('Summary Inputs &amp; Assumptions'!$T$9),'Summary Inputs &amp; Assumptions'!$L$23,0)</f>
        <v>4964408</v>
      </c>
      <c r="R52" s="27">
        <f>IF(R$6&gt;=YEAR('Summary Inputs &amp; Assumptions'!$T$9),'Summary Inputs &amp; Assumptions'!$L$23,0)</f>
        <v>4964408</v>
      </c>
      <c r="S52" s="27">
        <f>IF(S$6&gt;=YEAR('Summary Inputs &amp; Assumptions'!$T$9),'Summary Inputs &amp; Assumptions'!$L$23,0)</f>
        <v>0</v>
      </c>
      <c r="T52" s="27">
        <f>IF(T$6&gt;=YEAR('Summary Inputs &amp; Assumptions'!$T$9),'Summary Inputs &amp; Assumptions'!$L$23,0)</f>
        <v>0</v>
      </c>
      <c r="U52" s="27">
        <f>IF(U$6&gt;=YEAR('Summary Inputs &amp; Assumptions'!$T$9),'Summary Inputs &amp; Assumptions'!$L$23,0)</f>
        <v>0</v>
      </c>
      <c r="V52" s="27">
        <f>IF(V$6&gt;=YEAR('Summary Inputs &amp; Assumptions'!$T$9),'Summary Inputs &amp; Assumptions'!$L$23,0)</f>
        <v>0</v>
      </c>
      <c r="W52" s="27">
        <f>IF(W$6&gt;=YEAR('Summary Inputs &amp; Assumptions'!$T$9),'Summary Inputs &amp; Assumptions'!$L$23,0)</f>
        <v>0</v>
      </c>
      <c r="X52" s="27">
        <f>IF(X$6&gt;=YEAR('Summary Inputs &amp; Assumptions'!$T$9),'Summary Inputs &amp; Assumptions'!$L$23,0)</f>
        <v>0</v>
      </c>
      <c r="Y52" s="27">
        <f>IF(Y$6&gt;=YEAR('Summary Inputs &amp; Assumptions'!$T$9),'Summary Inputs &amp; Assumptions'!$L$23,0)</f>
        <v>0</v>
      </c>
      <c r="Z52" s="27">
        <f>IF(Z$6&gt;=YEAR('Summary Inputs &amp; Assumptions'!$T$9),'Summary Inputs &amp; Assumptions'!$L$23,0)</f>
        <v>0</v>
      </c>
      <c r="AA52" s="27">
        <f>IF(AA$6&gt;=YEAR('Summary Inputs &amp; Assumptions'!$T$9),'Summary Inputs &amp; Assumptions'!$L$23,0)</f>
        <v>0</v>
      </c>
      <c r="AB52" s="27">
        <f>IF(AB$6&gt;=YEAR('Summary Inputs &amp; Assumptions'!$T$9),'Summary Inputs &amp; Assumptions'!$L$23,0)</f>
        <v>0</v>
      </c>
      <c r="AC52" s="27">
        <f>IF(AC$6&gt;=YEAR('Summary Inputs &amp; Assumptions'!$T$9),'Summary Inputs &amp; Assumptions'!$L$23,0)</f>
        <v>0</v>
      </c>
      <c r="AD52" s="27">
        <f>IF(AD$6&gt;=YEAR('Summary Inputs &amp; Assumptions'!$T$9),'Summary Inputs &amp; Assumptions'!$L$23,0)</f>
        <v>0</v>
      </c>
      <c r="AE52" s="27">
        <f>IF(AE$6&gt;=YEAR('Summary Inputs &amp; Assumptions'!$T$9),'Summary Inputs &amp; Assumptions'!$L$23,0)</f>
        <v>0</v>
      </c>
      <c r="AF52" s="27">
        <f>IF(AF$6&gt;=YEAR('Summary Inputs &amp; Assumptions'!$T$9),'Summary Inputs &amp; Assumptions'!$L$23,0)</f>
        <v>0</v>
      </c>
      <c r="AG52" s="27">
        <f>IF(AG$6&gt;=YEAR('Summary Inputs &amp; Assumptions'!$T$9),'Summary Inputs &amp; Assumptions'!$L$23,0)</f>
        <v>0</v>
      </c>
    </row>
    <row r="53" spans="2:33" x14ac:dyDescent="0.4">
      <c r="C53" s="1" t="s">
        <v>49</v>
      </c>
      <c r="D53" s="27">
        <f>-D24</f>
        <v>0</v>
      </c>
      <c r="E53" s="27">
        <f>IF(E45=0,0,D53-E24)</f>
        <v>-4964408</v>
      </c>
      <c r="F53" s="27">
        <f t="shared" ref="F53:AG53" si="31">IF(F45=0,0,E53-F24)</f>
        <v>-4964408</v>
      </c>
      <c r="G53" s="27">
        <f t="shared" si="31"/>
        <v>-4964408</v>
      </c>
      <c r="H53" s="27">
        <f t="shared" si="31"/>
        <v>-4964408</v>
      </c>
      <c r="I53" s="27">
        <f t="shared" si="31"/>
        <v>-4964408</v>
      </c>
      <c r="J53" s="27">
        <f t="shared" si="31"/>
        <v>-4964408</v>
      </c>
      <c r="K53" s="27">
        <f t="shared" si="31"/>
        <v>-4964408</v>
      </c>
      <c r="L53" s="27">
        <f t="shared" si="31"/>
        <v>-4964408</v>
      </c>
      <c r="M53" s="27">
        <f t="shared" si="31"/>
        <v>-4964408</v>
      </c>
      <c r="N53" s="27">
        <f t="shared" si="31"/>
        <v>-4964408</v>
      </c>
      <c r="O53" s="27">
        <f t="shared" si="31"/>
        <v>-4964408</v>
      </c>
      <c r="P53" s="27">
        <f t="shared" si="31"/>
        <v>-4964408</v>
      </c>
      <c r="Q53" s="27">
        <f t="shared" si="31"/>
        <v>-4964408</v>
      </c>
      <c r="R53" s="27">
        <f t="shared" si="31"/>
        <v>-4964408</v>
      </c>
      <c r="S53" s="27">
        <f t="shared" si="31"/>
        <v>0</v>
      </c>
      <c r="T53" s="27">
        <f t="shared" si="31"/>
        <v>0</v>
      </c>
      <c r="U53" s="27">
        <f t="shared" si="31"/>
        <v>0</v>
      </c>
      <c r="V53" s="27">
        <f t="shared" si="31"/>
        <v>0</v>
      </c>
      <c r="W53" s="27">
        <f t="shared" si="31"/>
        <v>0</v>
      </c>
      <c r="X53" s="27">
        <f t="shared" si="31"/>
        <v>0</v>
      </c>
      <c r="Y53" s="27">
        <f t="shared" si="31"/>
        <v>0</v>
      </c>
      <c r="Z53" s="27">
        <f t="shared" si="31"/>
        <v>0</v>
      </c>
      <c r="AA53" s="27">
        <f t="shared" si="31"/>
        <v>0</v>
      </c>
      <c r="AB53" s="27">
        <f t="shared" si="31"/>
        <v>0</v>
      </c>
      <c r="AC53" s="27">
        <f t="shared" si="31"/>
        <v>0</v>
      </c>
      <c r="AD53" s="27">
        <f t="shared" si="31"/>
        <v>0</v>
      </c>
      <c r="AE53" s="27">
        <f t="shared" si="31"/>
        <v>0</v>
      </c>
      <c r="AF53" s="27">
        <f t="shared" si="31"/>
        <v>0</v>
      </c>
      <c r="AG53" s="27">
        <f t="shared" si="31"/>
        <v>0</v>
      </c>
    </row>
    <row r="54" spans="2:33" x14ac:dyDescent="0.4">
      <c r="C54" s="1" t="s">
        <v>51</v>
      </c>
      <c r="D54" s="27">
        <f>SUM(D53,D52)</f>
        <v>0</v>
      </c>
      <c r="E54" s="27">
        <f t="shared" ref="E54:R54" si="32">SUM(E53,E52)</f>
        <v>0</v>
      </c>
      <c r="F54" s="27">
        <f t="shared" si="32"/>
        <v>0</v>
      </c>
      <c r="G54" s="27">
        <f t="shared" si="32"/>
        <v>0</v>
      </c>
      <c r="H54" s="27">
        <f t="shared" si="32"/>
        <v>0</v>
      </c>
      <c r="I54" s="27">
        <f t="shared" si="32"/>
        <v>0</v>
      </c>
      <c r="J54" s="27">
        <f t="shared" si="32"/>
        <v>0</v>
      </c>
      <c r="K54" s="27">
        <f t="shared" si="32"/>
        <v>0</v>
      </c>
      <c r="L54" s="27">
        <f t="shared" si="32"/>
        <v>0</v>
      </c>
      <c r="M54" s="27">
        <f t="shared" si="32"/>
        <v>0</v>
      </c>
      <c r="N54" s="27">
        <f t="shared" si="32"/>
        <v>0</v>
      </c>
      <c r="O54" s="27">
        <f t="shared" si="32"/>
        <v>0</v>
      </c>
      <c r="P54" s="27">
        <f t="shared" si="32"/>
        <v>0</v>
      </c>
      <c r="Q54" s="27">
        <f t="shared" si="32"/>
        <v>0</v>
      </c>
      <c r="R54" s="27">
        <f t="shared" si="32"/>
        <v>0</v>
      </c>
      <c r="S54" s="27">
        <f>SUM(S53,S52)</f>
        <v>0</v>
      </c>
      <c r="T54" s="27">
        <f t="shared" ref="T54:AG54" si="33">SUM(T53,T52)</f>
        <v>0</v>
      </c>
      <c r="U54" s="27">
        <f t="shared" si="33"/>
        <v>0</v>
      </c>
      <c r="V54" s="27">
        <f t="shared" si="33"/>
        <v>0</v>
      </c>
      <c r="W54" s="27">
        <f t="shared" si="33"/>
        <v>0</v>
      </c>
      <c r="X54" s="27">
        <f t="shared" si="33"/>
        <v>0</v>
      </c>
      <c r="Y54" s="27">
        <f t="shared" si="33"/>
        <v>0</v>
      </c>
      <c r="Z54" s="27">
        <f t="shared" si="33"/>
        <v>0</v>
      </c>
      <c r="AA54" s="27">
        <f t="shared" si="33"/>
        <v>0</v>
      </c>
      <c r="AB54" s="27">
        <f t="shared" si="33"/>
        <v>0</v>
      </c>
      <c r="AC54" s="27">
        <f t="shared" si="33"/>
        <v>0</v>
      </c>
      <c r="AD54" s="27">
        <f t="shared" si="33"/>
        <v>0</v>
      </c>
      <c r="AE54" s="27">
        <f t="shared" si="33"/>
        <v>0</v>
      </c>
      <c r="AF54" s="27">
        <f t="shared" si="33"/>
        <v>0</v>
      </c>
      <c r="AG54" s="27">
        <f t="shared" si="33"/>
        <v>0</v>
      </c>
    </row>
    <row r="55" spans="2:33" x14ac:dyDescent="0.4"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 spans="2:33" ht="11.7" thickBot="1" x14ac:dyDescent="0.45">
      <c r="B56" s="1" t="s">
        <v>71</v>
      </c>
      <c r="D56" s="44">
        <f>D54+D49+D48</f>
        <v>4592703.4580561025</v>
      </c>
      <c r="E56" s="44">
        <f t="shared" ref="E56:R56" si="34">E54+E49+E48</f>
        <v>1309274.3593450855</v>
      </c>
      <c r="F56" s="44">
        <f t="shared" si="34"/>
        <v>1546097.821465312</v>
      </c>
      <c r="G56" s="44">
        <f t="shared" si="34"/>
        <v>1773744.356997747</v>
      </c>
      <c r="H56" s="44">
        <f t="shared" si="34"/>
        <v>1991853.5552840827</v>
      </c>
      <c r="I56" s="44">
        <f t="shared" si="34"/>
        <v>2200047.3114535217</v>
      </c>
      <c r="J56" s="44">
        <f t="shared" si="34"/>
        <v>2397928.9531657421</v>
      </c>
      <c r="K56" s="44">
        <f t="shared" si="34"/>
        <v>2585082.3239052976</v>
      </c>
      <c r="L56" s="44">
        <f t="shared" si="34"/>
        <v>2761070.820659359</v>
      </c>
      <c r="M56" s="44">
        <f t="shared" si="34"/>
        <v>2925436.3837023815</v>
      </c>
      <c r="N56" s="44">
        <f t="shared" si="34"/>
        <v>3077698.4360975451</v>
      </c>
      <c r="O56" s="44">
        <f t="shared" si="34"/>
        <v>3217352.7704054038</v>
      </c>
      <c r="P56" s="44">
        <f t="shared" si="34"/>
        <v>3343870.3799647922</v>
      </c>
      <c r="Q56" s="44">
        <f t="shared" si="34"/>
        <v>3456696.231979378</v>
      </c>
      <c r="R56" s="44">
        <f t="shared" si="34"/>
        <v>3555247.979505023</v>
      </c>
      <c r="S56" s="44">
        <f t="shared" ref="S56:AG56" si="35">S54+S49+S48</f>
        <v>0</v>
      </c>
      <c r="T56" s="44">
        <f t="shared" si="35"/>
        <v>0</v>
      </c>
      <c r="U56" s="44">
        <f t="shared" si="35"/>
        <v>0</v>
      </c>
      <c r="V56" s="44">
        <f t="shared" si="35"/>
        <v>0</v>
      </c>
      <c r="W56" s="44">
        <f t="shared" si="35"/>
        <v>0</v>
      </c>
      <c r="X56" s="44">
        <f t="shared" si="35"/>
        <v>0</v>
      </c>
      <c r="Y56" s="44">
        <f t="shared" si="35"/>
        <v>0</v>
      </c>
      <c r="Z56" s="44">
        <f t="shared" si="35"/>
        <v>0</v>
      </c>
      <c r="AA56" s="44">
        <f t="shared" si="35"/>
        <v>0</v>
      </c>
      <c r="AB56" s="44">
        <f t="shared" si="35"/>
        <v>0</v>
      </c>
      <c r="AC56" s="44">
        <f t="shared" si="35"/>
        <v>0</v>
      </c>
      <c r="AD56" s="44">
        <f t="shared" si="35"/>
        <v>0</v>
      </c>
      <c r="AE56" s="44">
        <f t="shared" si="35"/>
        <v>0</v>
      </c>
      <c r="AF56" s="44">
        <f t="shared" si="35"/>
        <v>0</v>
      </c>
      <c r="AG56" s="44">
        <f t="shared" si="35"/>
        <v>0</v>
      </c>
    </row>
    <row r="57" spans="2:33" ht="11.7" thickTop="1" x14ac:dyDescent="0.4"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spans="2:33" x14ac:dyDescent="0.4">
      <c r="B58" s="1" t="s">
        <v>75</v>
      </c>
    </row>
    <row r="60" spans="2:33" x14ac:dyDescent="0.4">
      <c r="C60" s="1" t="s">
        <v>60</v>
      </c>
    </row>
    <row r="61" spans="2:33" x14ac:dyDescent="0.4">
      <c r="C61" s="1" t="s">
        <v>95</v>
      </c>
      <c r="D61" s="22">
        <f>_xlfn.IFNA(INDEX(Debt!$A$7:$K$45,MATCH(D$6,Debt!$B$7:$B$44,0),(MATCH($C61,Debt!$B$7:$K$7,0))),0)</f>
        <v>1605563.9994782147</v>
      </c>
      <c r="E61" s="22">
        <f>_xlfn.IFNA(INDEX(Debt!$A$7:$K$45,MATCH(E$6,Debt!$B$7:$B$44,0),(MATCH($C61,Debt!$B$7:$K$7,0))),0)</f>
        <v>1594602.7473973308</v>
      </c>
      <c r="F61" s="22">
        <f>_xlfn.IFNA(INDEX(Debt!$A$7:$K$45,MATCH(F$6,Debt!$B$7:$B$44,0),(MATCH($C61,Debt!$B$7:$K$7,0))),0)</f>
        <v>1508615.487433864</v>
      </c>
      <c r="G61" s="22">
        <f>_xlfn.IFNA(INDEX(Debt!$A$7:$K$45,MATCH(G$6,Debt!$B$7:$B$44,0),(MATCH($C61,Debt!$B$7:$K$7,0))),0)</f>
        <v>1419126.2966642238</v>
      </c>
      <c r="H61" s="22">
        <f>_xlfn.IFNA(INDEX(Debt!$A$7:$K$45,MATCH(H$6,Debt!$B$7:$B$44,0),(MATCH($C61,Debt!$B$7:$K$7,0))),0)</f>
        <v>1325963.0038515257</v>
      </c>
      <c r="I61" s="22">
        <f>_xlfn.IFNA(INDEX(Debt!$A$7:$K$45,MATCH(I$6,Debt!$B$7:$B$44,0),(MATCH($C61,Debt!$B$7:$K$7,0))),0)</f>
        <v>1228944.9267731304</v>
      </c>
      <c r="J61" s="22">
        <f>_xlfn.IFNA(INDEX(Debt!$A$7:$K$45,MATCH(J$6,Debt!$B$7:$B$44,0),(MATCH($C61,Debt!$B$7:$K$7,0))),0)</f>
        <v>1127882.4485056682</v>
      </c>
      <c r="K61" s="22">
        <f>_xlfn.IFNA(INDEX(Debt!$A$7:$K$45,MATCH(K$6,Debt!$B$7:$B$44,0),(MATCH($C61,Debt!$B$7:$K$7,0))),0)</f>
        <v>1022576.572561352</v>
      </c>
      <c r="L61" s="22">
        <f>_xlfn.IFNA(INDEX(Debt!$A$7:$K$45,MATCH(L$6,Debt!$B$7:$B$44,0),(MATCH($C61,Debt!$B$7:$K$7,0))),0)</f>
        <v>912818.45581888361</v>
      </c>
      <c r="M61" s="22">
        <f>_xlfn.IFNA(INDEX(Debt!$A$7:$K$45,MATCH(M$6,Debt!$B$7:$B$44,0),(MATCH($C61,Debt!$B$7:$K$7,0))),0)</f>
        <v>798388.91813943733</v>
      </c>
      <c r="N61" s="22">
        <f>_xlfn.IFNA(INDEX(Debt!$A$7:$K$45,MATCH(N$6,Debt!$B$7:$B$44,0),(MATCH($C61,Debt!$B$7:$K$7,0))),0)</f>
        <v>679057.92750274448</v>
      </c>
      <c r="O61" s="22">
        <f>_xlfn.IFNA(INDEX(Debt!$A$7:$K$45,MATCH(O$6,Debt!$B$7:$B$44,0),(MATCH($C61,Debt!$B$7:$K$7,0))),0)</f>
        <v>554584.0594400689</v>
      </c>
      <c r="P61" s="22">
        <f>_xlfn.IFNA(INDEX(Debt!$A$7:$K$45,MATCH(P$6,Debt!$B$7:$B$44,0),(MATCH($C61,Debt!$B$7:$K$7,0))),0)</f>
        <v>424713.92947971832</v>
      </c>
      <c r="Q61" s="22">
        <f>_xlfn.IFNA(INDEX(Debt!$A$7:$K$45,MATCH(Q$6,Debt!$B$7:$B$44,0),(MATCH($C61,Debt!$B$7:$K$7,0))),0)</f>
        <v>289181.59725653555</v>
      </c>
      <c r="R61" s="22">
        <f>_xlfn.IFNA(INDEX(Debt!$A$7:$K$45,MATCH(R$6,Debt!$B$7:$B$44,0),(MATCH($C61,Debt!$B$7:$K$7,0))),0)</f>
        <v>147707.94086940101</v>
      </c>
      <c r="S61" s="22">
        <f>_xlfn.IFNA(INDEX(Debt!$A$7:$K$45,MATCH(S$6,Debt!$B$7:$B$44,0),(MATCH($C61,Debt!$B$7:$K$7,0))),0)</f>
        <v>0</v>
      </c>
      <c r="T61" s="22">
        <f>_xlfn.IFNA(INDEX(Debt!$A$7:$K$45,MATCH(T$6,Debt!$B$7:$B$44,0),(MATCH($C61,Debt!$B$7:$K$7,0))),0)</f>
        <v>0</v>
      </c>
      <c r="U61" s="22">
        <f>_xlfn.IFNA(INDEX(Debt!$A$7:$K$45,MATCH(U$6,Debt!$B$7:$B$44,0),(MATCH($C61,Debt!$B$7:$K$7,0))),0)</f>
        <v>0</v>
      </c>
      <c r="V61" s="22">
        <f>_xlfn.IFNA(INDEX(Debt!$A$7:$K$45,MATCH(V$6,Debt!$B$7:$B$44,0),(MATCH($C61,Debt!$B$7:$K$7,0))),0)</f>
        <v>0</v>
      </c>
      <c r="W61" s="22">
        <f>_xlfn.IFNA(INDEX(Debt!$A$7:$K$45,MATCH(W$6,Debt!$B$7:$B$44,0),(MATCH($C61,Debt!$B$7:$K$7,0))),0)</f>
        <v>0</v>
      </c>
      <c r="X61" s="22">
        <f>_xlfn.IFNA(INDEX(Debt!$A$7:$K$45,MATCH(X$6,Debt!$B$7:$B$44,0),(MATCH($C61,Debt!$B$7:$K$7,0))),0)</f>
        <v>0</v>
      </c>
      <c r="Y61" s="22">
        <f>_xlfn.IFNA(INDEX(Debt!$A$7:$K$45,MATCH(Y$6,Debt!$B$7:$B$44,0),(MATCH($C61,Debt!$B$7:$K$7,0))),0)</f>
        <v>0</v>
      </c>
      <c r="Z61" s="22">
        <f>_xlfn.IFNA(INDEX(Debt!$A$7:$K$45,MATCH(Z$6,Debt!$B$7:$B$44,0),(MATCH($C61,Debt!$B$7:$K$7,0))),0)</f>
        <v>0</v>
      </c>
      <c r="AA61" s="22">
        <f>_xlfn.IFNA(INDEX(Debt!$A$7:$K$45,MATCH(AA$6,Debt!$B$7:$B$44,0),(MATCH($C61,Debt!$B$7:$K$7,0))),0)</f>
        <v>0</v>
      </c>
      <c r="AB61" s="22">
        <f>_xlfn.IFNA(INDEX(Debt!$A$7:$K$45,MATCH(AB$6,Debt!$B$7:$B$44,0),(MATCH($C61,Debt!$B$7:$K$7,0))),0)</f>
        <v>0</v>
      </c>
      <c r="AC61" s="22">
        <f>_xlfn.IFNA(INDEX(Debt!$A$7:$K$45,MATCH(AC$6,Debt!$B$7:$B$44,0),(MATCH($C61,Debt!$B$7:$K$7,0))),0)</f>
        <v>0</v>
      </c>
      <c r="AD61" s="22">
        <f>_xlfn.IFNA(INDEX(Debt!$A$7:$K$45,MATCH(AD$6,Debt!$B$7:$B$44,0),(MATCH($C61,Debt!$B$7:$K$7,0))),0)</f>
        <v>0</v>
      </c>
      <c r="AE61" s="22">
        <f>_xlfn.IFNA(INDEX(Debt!$A$7:$K$45,MATCH(AE$6,Debt!$B$7:$B$44,0),(MATCH($C61,Debt!$B$7:$K$7,0))),0)</f>
        <v>0</v>
      </c>
      <c r="AF61" s="22">
        <f>_xlfn.IFNA(INDEX(Debt!$A$7:$K$45,MATCH(AF$6,Debt!$B$7:$B$44,0),(MATCH($C61,Debt!$B$7:$K$7,0))),0)</f>
        <v>0</v>
      </c>
      <c r="AG61" s="22">
        <f>_xlfn.IFNA(INDEX(Debt!$A$7:$K$45,MATCH(AG$6,Debt!$B$7:$B$44,0),(MATCH($C61,Debt!$B$7:$K$7,0))),0)</f>
        <v>0</v>
      </c>
    </row>
    <row r="62" spans="2:33" x14ac:dyDescent="0.4">
      <c r="C62" s="1" t="s">
        <v>76</v>
      </c>
      <c r="D62" s="22">
        <f>SUM(D59:D61)</f>
        <v>1605563.9994782147</v>
      </c>
      <c r="E62" s="22">
        <f t="shared" ref="E62:R62" si="36">SUM(E59:E61)</f>
        <v>1594602.7473973308</v>
      </c>
      <c r="F62" s="22">
        <f t="shared" si="36"/>
        <v>1508615.487433864</v>
      </c>
      <c r="G62" s="22">
        <f t="shared" si="36"/>
        <v>1419126.2966642238</v>
      </c>
      <c r="H62" s="22">
        <f t="shared" si="36"/>
        <v>1325963.0038515257</v>
      </c>
      <c r="I62" s="22">
        <f t="shared" si="36"/>
        <v>1228944.9267731304</v>
      </c>
      <c r="J62" s="22">
        <f t="shared" si="36"/>
        <v>1127882.4485056682</v>
      </c>
      <c r="K62" s="22">
        <f t="shared" si="36"/>
        <v>1022576.572561352</v>
      </c>
      <c r="L62" s="22">
        <f t="shared" si="36"/>
        <v>912818.45581888361</v>
      </c>
      <c r="M62" s="22">
        <f t="shared" si="36"/>
        <v>798388.91813943733</v>
      </c>
      <c r="N62" s="22">
        <f t="shared" si="36"/>
        <v>679057.92750274448</v>
      </c>
      <c r="O62" s="22">
        <f t="shared" si="36"/>
        <v>554584.0594400689</v>
      </c>
      <c r="P62" s="22">
        <f t="shared" si="36"/>
        <v>424713.92947971832</v>
      </c>
      <c r="Q62" s="22">
        <f t="shared" si="36"/>
        <v>289181.59725653555</v>
      </c>
      <c r="R62" s="22">
        <f t="shared" si="36"/>
        <v>147707.94086940101</v>
      </c>
      <c r="S62" s="22">
        <f t="shared" ref="S62:AG62" si="37">SUM(S59:S61)</f>
        <v>0</v>
      </c>
      <c r="T62" s="22">
        <f t="shared" si="37"/>
        <v>0</v>
      </c>
      <c r="U62" s="22">
        <f t="shared" si="37"/>
        <v>0</v>
      </c>
      <c r="V62" s="22">
        <f t="shared" si="37"/>
        <v>0</v>
      </c>
      <c r="W62" s="22">
        <f t="shared" si="37"/>
        <v>0</v>
      </c>
      <c r="X62" s="22">
        <f t="shared" si="37"/>
        <v>0</v>
      </c>
      <c r="Y62" s="22">
        <f t="shared" si="37"/>
        <v>0</v>
      </c>
      <c r="Z62" s="22">
        <f t="shared" si="37"/>
        <v>0</v>
      </c>
      <c r="AA62" s="22">
        <f t="shared" si="37"/>
        <v>0</v>
      </c>
      <c r="AB62" s="22">
        <f t="shared" si="37"/>
        <v>0</v>
      </c>
      <c r="AC62" s="22">
        <f t="shared" si="37"/>
        <v>0</v>
      </c>
      <c r="AD62" s="22">
        <f t="shared" si="37"/>
        <v>0</v>
      </c>
      <c r="AE62" s="22">
        <f t="shared" si="37"/>
        <v>0</v>
      </c>
      <c r="AF62" s="22">
        <f t="shared" si="37"/>
        <v>0</v>
      </c>
      <c r="AG62" s="22">
        <f t="shared" si="37"/>
        <v>0</v>
      </c>
    </row>
    <row r="64" spans="2:33" x14ac:dyDescent="0.4">
      <c r="C64" s="1" t="s">
        <v>77</v>
      </c>
    </row>
    <row r="65" spans="2:159" x14ac:dyDescent="0.4">
      <c r="C65" s="1" t="s">
        <v>73</v>
      </c>
      <c r="D65" s="6">
        <f>D30</f>
        <v>217137.37805610249</v>
      </c>
      <c r="E65" s="6">
        <f>IF(E45=0,0,E30+D65)</f>
        <v>-4418964.3885740312</v>
      </c>
      <c r="F65" s="6">
        <f t="shared" ref="F65:AG65" si="38">IF(F45=0,0,F30+E65)</f>
        <v>-4096153.6664903378</v>
      </c>
      <c r="G65" s="6">
        <f t="shared" si="38"/>
        <v>-3779017.9401882626</v>
      </c>
      <c r="H65" s="6">
        <f t="shared" si="38"/>
        <v>-3467745.4490892291</v>
      </c>
      <c r="I65" s="6">
        <f t="shared" si="38"/>
        <v>-3162533.6158413948</v>
      </c>
      <c r="J65" s="6">
        <f t="shared" si="38"/>
        <v>-2863589.4958617119</v>
      </c>
      <c r="K65" s="6">
        <f t="shared" si="38"/>
        <v>-2571130.2491778405</v>
      </c>
      <c r="L65" s="6">
        <f t="shared" si="38"/>
        <v>-2285383.6356813107</v>
      </c>
      <c r="M65" s="6">
        <f t="shared" si="38"/>
        <v>-2006588.5349588417</v>
      </c>
      <c r="N65" s="6">
        <f t="shared" si="38"/>
        <v>-1734995.4919269853</v>
      </c>
      <c r="O65" s="6">
        <f t="shared" si="38"/>
        <v>-1470867.2895564509</v>
      </c>
      <c r="P65" s="6">
        <f t="shared" si="38"/>
        <v>-1214479.5500367119</v>
      </c>
      <c r="Q65" s="6">
        <f t="shared" si="38"/>
        <v>-966121.36579894309</v>
      </c>
      <c r="R65" s="6">
        <f t="shared" si="38"/>
        <v>-726095.96188616334</v>
      </c>
      <c r="S65" s="6">
        <f t="shared" si="38"/>
        <v>0</v>
      </c>
      <c r="T65" s="6">
        <f t="shared" si="38"/>
        <v>0</v>
      </c>
      <c r="U65" s="6">
        <f t="shared" si="38"/>
        <v>0</v>
      </c>
      <c r="V65" s="6">
        <f t="shared" si="38"/>
        <v>0</v>
      </c>
      <c r="W65" s="6">
        <f t="shared" si="38"/>
        <v>0</v>
      </c>
      <c r="X65" s="6">
        <f t="shared" si="38"/>
        <v>0</v>
      </c>
      <c r="Y65" s="6">
        <f t="shared" si="38"/>
        <v>0</v>
      </c>
      <c r="Z65" s="6">
        <f t="shared" si="38"/>
        <v>0</v>
      </c>
      <c r="AA65" s="6">
        <f t="shared" si="38"/>
        <v>0</v>
      </c>
      <c r="AB65" s="6">
        <f t="shared" si="38"/>
        <v>0</v>
      </c>
      <c r="AC65" s="6">
        <f t="shared" si="38"/>
        <v>0</v>
      </c>
      <c r="AD65" s="6">
        <f t="shared" si="38"/>
        <v>0</v>
      </c>
      <c r="AE65" s="6">
        <f t="shared" si="38"/>
        <v>0</v>
      </c>
      <c r="AF65" s="6">
        <f t="shared" si="38"/>
        <v>0</v>
      </c>
      <c r="AG65" s="6">
        <f t="shared" si="38"/>
        <v>0</v>
      </c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</row>
    <row r="66" spans="2:159" x14ac:dyDescent="0.4">
      <c r="C66" s="1" t="s">
        <v>74</v>
      </c>
    </row>
    <row r="67" spans="2:159" x14ac:dyDescent="0.4">
      <c r="C67" s="1" t="s">
        <v>84</v>
      </c>
      <c r="D67" s="22">
        <f>IF(D45=0,0,IF(_xlfn.IFNA(INDEX('Capital Contribution Schedule'!$B$13:$E$36,MATCH(D$45,'Capital Contribution Schedule'!$B$13:$B$22,0),MATCH($C67,'Capital Contribution Schedule'!$B$13:$E$13,0)),0)=0,$B67,$B67+_xlfn.IFNA(INDEX('Capital Contribution Schedule'!$B$13:$E$36,MATCH(D$45,'Capital Contribution Schedule'!$B$13:$B$22,0),MATCH($C67,'Capital Contribution Schedule'!$B$13:$E$13,0)),0)))</f>
        <v>340908.48000000004</v>
      </c>
      <c r="E67" s="22">
        <f>IF(E45=0,0,IF(_xlfn.IFNA(INDEX('Capital Contribution Schedule'!$B$13:$E$36,MATCH(E$45,'Capital Contribution Schedule'!$B$13:$B$22,0),MATCH($C67,'Capital Contribution Schedule'!$B$13:$E$13,0)),0)=0,D67,D67+_xlfn.IFNA(INDEX('Capital Contribution Schedule'!$B$13:$E$36,MATCH(E$45,'Capital Contribution Schedule'!$B$13:$B$22,0),MATCH($C67,'Capital Contribution Schedule'!$B$13:$E$13,0)),0)))</f>
        <v>1704542.4000000001</v>
      </c>
      <c r="F67" s="22">
        <f>IF(F45=0,0,IF(_xlfn.IFNA(INDEX('Capital Contribution Schedule'!$B$13:$E$36,MATCH(F$45,'Capital Contribution Schedule'!$B$13:$B$22,0),MATCH($C67,'Capital Contribution Schedule'!$B$13:$E$13,0)),0)=0,E67,E67+_xlfn.IFNA(INDEX('Capital Contribution Schedule'!$B$13:$E$36,MATCH(F$45,'Capital Contribution Schedule'!$B$13:$B$22,0),MATCH($C67,'Capital Contribution Schedule'!$B$13:$E$13,0)),0)))</f>
        <v>1704542.4000000001</v>
      </c>
      <c r="G67" s="22">
        <f>IF(G45=0,0,IF(_xlfn.IFNA(INDEX('Capital Contribution Schedule'!$B$13:$E$36,MATCH(G$45,'Capital Contribution Schedule'!$B$13:$B$22,0),MATCH($C67,'Capital Contribution Schedule'!$B$13:$E$13,0)),0)=0,F67,F67+_xlfn.IFNA(INDEX('Capital Contribution Schedule'!$B$13:$E$36,MATCH(G$45,'Capital Contribution Schedule'!$B$13:$B$22,0),MATCH($C67,'Capital Contribution Schedule'!$B$13:$E$13,0)),0)))</f>
        <v>1704542.4000000001</v>
      </c>
      <c r="H67" s="22">
        <f>IF(H45=0,0,IF(_xlfn.IFNA(INDEX('Capital Contribution Schedule'!$B$13:$E$36,MATCH(H$45,'Capital Contribution Schedule'!$B$13:$B$22,0),MATCH($C67,'Capital Contribution Schedule'!$B$13:$E$13,0)),0)=0,G67,G67+_xlfn.IFNA(INDEX('Capital Contribution Schedule'!$B$13:$E$36,MATCH(H$45,'Capital Contribution Schedule'!$B$13:$B$22,0),MATCH($C67,'Capital Contribution Schedule'!$B$13:$E$13,0)),0)))</f>
        <v>1704542.4000000001</v>
      </c>
      <c r="I67" s="22">
        <f>IF(I45=0,0,IF(_xlfn.IFNA(INDEX('Capital Contribution Schedule'!$B$13:$E$36,MATCH(I$45,'Capital Contribution Schedule'!$B$13:$B$22,0),MATCH($C67,'Capital Contribution Schedule'!$B$13:$E$13,0)),0)=0,H67,H67+_xlfn.IFNA(INDEX('Capital Contribution Schedule'!$B$13:$E$36,MATCH(I$45,'Capital Contribution Schedule'!$B$13:$B$22,0),MATCH($C67,'Capital Contribution Schedule'!$B$13:$E$13,0)),0)))</f>
        <v>1704542.4000000001</v>
      </c>
      <c r="J67" s="22">
        <f>IF(J45=0,0,IF(_xlfn.IFNA(INDEX('Capital Contribution Schedule'!$B$13:$E$36,MATCH(J$45,'Capital Contribution Schedule'!$B$13:$B$22,0),MATCH($C67,'Capital Contribution Schedule'!$B$13:$E$13,0)),0)=0,I67,I67+_xlfn.IFNA(INDEX('Capital Contribution Schedule'!$B$13:$E$36,MATCH(J$45,'Capital Contribution Schedule'!$B$13:$B$22,0),MATCH($C67,'Capital Contribution Schedule'!$B$13:$E$13,0)),0)))</f>
        <v>1704542.4000000001</v>
      </c>
      <c r="K67" s="22">
        <f>IF(K45=0,0,IF(_xlfn.IFNA(INDEX('Capital Contribution Schedule'!$B$13:$E$36,MATCH(K$45,'Capital Contribution Schedule'!$B$13:$B$22,0),MATCH($C67,'Capital Contribution Schedule'!$B$13:$E$13,0)),0)=0,J67,J67+_xlfn.IFNA(INDEX('Capital Contribution Schedule'!$B$13:$E$36,MATCH(K$45,'Capital Contribution Schedule'!$B$13:$B$22,0),MATCH($C67,'Capital Contribution Schedule'!$B$13:$E$13,0)),0)))</f>
        <v>1704542.4000000001</v>
      </c>
      <c r="L67" s="22">
        <f>IF(L45=0,0,IF(_xlfn.IFNA(INDEX('Capital Contribution Schedule'!$B$13:$E$36,MATCH(L$45,'Capital Contribution Schedule'!$B$13:$B$22,0),MATCH($C67,'Capital Contribution Schedule'!$B$13:$E$13,0)),0)=0,K67,K67+_xlfn.IFNA(INDEX('Capital Contribution Schedule'!$B$13:$E$36,MATCH(L$45,'Capital Contribution Schedule'!$B$13:$B$22,0),MATCH($C67,'Capital Contribution Schedule'!$B$13:$E$13,0)),0)))</f>
        <v>1704542.4000000001</v>
      </c>
      <c r="M67" s="22">
        <f>IF(M45=0,0,IF(_xlfn.IFNA(INDEX('Capital Contribution Schedule'!$B$13:$E$36,MATCH(M$45,'Capital Contribution Schedule'!$B$13:$B$22,0),MATCH($C67,'Capital Contribution Schedule'!$B$13:$E$13,0)),0)=0,L67,L67+_xlfn.IFNA(INDEX('Capital Contribution Schedule'!$B$13:$E$36,MATCH(M$45,'Capital Contribution Schedule'!$B$13:$B$22,0),MATCH($C67,'Capital Contribution Schedule'!$B$13:$E$13,0)),0)))</f>
        <v>1704542.4000000001</v>
      </c>
      <c r="N67" s="22">
        <f>IF(N45=0,0,IF(_xlfn.IFNA(INDEX('Capital Contribution Schedule'!$B$13:$E$36,MATCH(N$45,'Capital Contribution Schedule'!$B$13:$B$22,0),MATCH($C67,'Capital Contribution Schedule'!$B$13:$E$13,0)),0)=0,M67,M67+_xlfn.IFNA(INDEX('Capital Contribution Schedule'!$B$13:$E$36,MATCH(N$45,'Capital Contribution Schedule'!$B$13:$B$22,0),MATCH($C67,'Capital Contribution Schedule'!$B$13:$E$13,0)),0)))</f>
        <v>1704542.4000000001</v>
      </c>
      <c r="O67" s="22">
        <f>IF(O45=0,0,IF(_xlfn.IFNA(INDEX('Capital Contribution Schedule'!$B$13:$E$36,MATCH(O$45,'Capital Contribution Schedule'!$B$13:$B$22,0),MATCH($C67,'Capital Contribution Schedule'!$B$13:$E$13,0)),0)=0,N67,N67+_xlfn.IFNA(INDEX('Capital Contribution Schedule'!$B$13:$E$36,MATCH(O$45,'Capital Contribution Schedule'!$B$13:$B$22,0),MATCH($C67,'Capital Contribution Schedule'!$B$13:$E$13,0)),0)))</f>
        <v>1704542.4000000001</v>
      </c>
      <c r="P67" s="22">
        <f>IF(P45=0,0,IF(_xlfn.IFNA(INDEX('Capital Contribution Schedule'!$B$13:$E$36,MATCH(P$45,'Capital Contribution Schedule'!$B$13:$B$22,0),MATCH($C67,'Capital Contribution Schedule'!$B$13:$E$13,0)),0)=0,O67,O67+_xlfn.IFNA(INDEX('Capital Contribution Schedule'!$B$13:$E$36,MATCH(P$45,'Capital Contribution Schedule'!$B$13:$B$22,0),MATCH($C67,'Capital Contribution Schedule'!$B$13:$E$13,0)),0)))</f>
        <v>1704542.4000000001</v>
      </c>
      <c r="Q67" s="22">
        <f>IF(Q45=0,0,IF(_xlfn.IFNA(INDEX('Capital Contribution Schedule'!$B$13:$E$36,MATCH(Q$45,'Capital Contribution Schedule'!$B$13:$B$22,0),MATCH($C67,'Capital Contribution Schedule'!$B$13:$E$13,0)),0)=0,P67,P67+_xlfn.IFNA(INDEX('Capital Contribution Schedule'!$B$13:$E$36,MATCH(Q$45,'Capital Contribution Schedule'!$B$13:$B$22,0),MATCH($C67,'Capital Contribution Schedule'!$B$13:$E$13,0)),0)))</f>
        <v>1704542.4000000001</v>
      </c>
      <c r="R67" s="22">
        <f>IF(R45=0,0,IF(_xlfn.IFNA(INDEX('Capital Contribution Schedule'!$B$13:$E$36,MATCH(R$45,'Capital Contribution Schedule'!$B$13:$B$22,0),MATCH($C67,'Capital Contribution Schedule'!$B$13:$E$13,0)),0)=0,Q67,Q67+_xlfn.IFNA(INDEX('Capital Contribution Schedule'!$B$13:$E$36,MATCH(R$45,'Capital Contribution Schedule'!$B$13:$B$22,0),MATCH($C67,'Capital Contribution Schedule'!$B$13:$E$13,0)),0)))</f>
        <v>1704542.4000000001</v>
      </c>
      <c r="S67" s="22">
        <f>IF(S45=0,0,IF(_xlfn.IFNA(INDEX('Capital Contribution Schedule'!$B$13:$E$36,MATCH(S$45,'Capital Contribution Schedule'!$B$13:$B$22,0),MATCH($C67,'Capital Contribution Schedule'!$B$13:$E$13,0)),0)=0,R67,R67+_xlfn.IFNA(INDEX('Capital Contribution Schedule'!$B$13:$E$36,MATCH(S$45,'Capital Contribution Schedule'!$B$13:$B$22,0),MATCH($C67,'Capital Contribution Schedule'!$B$13:$E$13,0)),0)))</f>
        <v>0</v>
      </c>
      <c r="T67" s="22">
        <f>IF(T45=0,0,IF(_xlfn.IFNA(INDEX('Capital Contribution Schedule'!$B$13:$E$36,MATCH(T$45,'Capital Contribution Schedule'!$B$13:$B$22,0),MATCH($C67,'Capital Contribution Schedule'!$B$13:$E$13,0)),0)=0,S67,S67+_xlfn.IFNA(INDEX('Capital Contribution Schedule'!$B$13:$E$36,MATCH(T$45,'Capital Contribution Schedule'!$B$13:$B$22,0),MATCH($C67,'Capital Contribution Schedule'!$B$13:$E$13,0)),0)))</f>
        <v>0</v>
      </c>
      <c r="U67" s="22">
        <f>IF(U45=0,0,IF(_xlfn.IFNA(INDEX('Capital Contribution Schedule'!$B$13:$E$36,MATCH(U$45,'Capital Contribution Schedule'!$B$13:$B$22,0),MATCH($C67,'Capital Contribution Schedule'!$B$13:$E$13,0)),0)=0,T67,T67+_xlfn.IFNA(INDEX('Capital Contribution Schedule'!$B$13:$E$36,MATCH(U$45,'Capital Contribution Schedule'!$B$13:$B$22,0),MATCH($C67,'Capital Contribution Schedule'!$B$13:$E$13,0)),0)))</f>
        <v>0</v>
      </c>
      <c r="V67" s="22">
        <f>IF(V45=0,0,IF(_xlfn.IFNA(INDEX('Capital Contribution Schedule'!$B$13:$E$36,MATCH(V$45,'Capital Contribution Schedule'!$B$13:$B$22,0),MATCH($C67,'Capital Contribution Schedule'!$B$13:$E$13,0)),0)=0,U67,U67+_xlfn.IFNA(INDEX('Capital Contribution Schedule'!$B$13:$E$36,MATCH(V$45,'Capital Contribution Schedule'!$B$13:$B$22,0),MATCH($C67,'Capital Contribution Schedule'!$B$13:$E$13,0)),0)))</f>
        <v>0</v>
      </c>
      <c r="W67" s="22">
        <f>IF(W45=0,0,IF(_xlfn.IFNA(INDEX('Capital Contribution Schedule'!$B$13:$E$36,MATCH(W$45,'Capital Contribution Schedule'!$B$13:$B$22,0),MATCH($C67,'Capital Contribution Schedule'!$B$13:$E$13,0)),0)=0,V67,V67+_xlfn.IFNA(INDEX('Capital Contribution Schedule'!$B$13:$E$36,MATCH(W$45,'Capital Contribution Schedule'!$B$13:$B$22,0),MATCH($C67,'Capital Contribution Schedule'!$B$13:$E$13,0)),0)))</f>
        <v>0</v>
      </c>
      <c r="X67" s="22">
        <f>IF(X45=0,0,IF(_xlfn.IFNA(INDEX('Capital Contribution Schedule'!$B$13:$E$36,MATCH(X$45,'Capital Contribution Schedule'!$B$13:$B$22,0),MATCH($C67,'Capital Contribution Schedule'!$B$13:$E$13,0)),0)=0,W67,W67+_xlfn.IFNA(INDEX('Capital Contribution Schedule'!$B$13:$E$36,MATCH(X$45,'Capital Contribution Schedule'!$B$13:$B$22,0),MATCH($C67,'Capital Contribution Schedule'!$B$13:$E$13,0)),0)))</f>
        <v>0</v>
      </c>
      <c r="Y67" s="22">
        <f>IF(Y45=0,0,IF(_xlfn.IFNA(INDEX('Capital Contribution Schedule'!$B$13:$E$36,MATCH(Y$45,'Capital Contribution Schedule'!$B$13:$B$22,0),MATCH($C67,'Capital Contribution Schedule'!$B$13:$E$13,0)),0)=0,X67,X67+_xlfn.IFNA(INDEX('Capital Contribution Schedule'!$B$13:$E$36,MATCH(Y$45,'Capital Contribution Schedule'!$B$13:$B$22,0),MATCH($C67,'Capital Contribution Schedule'!$B$13:$E$13,0)),0)))</f>
        <v>0</v>
      </c>
      <c r="Z67" s="22">
        <f>IF(Z45=0,0,IF(_xlfn.IFNA(INDEX('Capital Contribution Schedule'!$B$13:$E$36,MATCH(Z$45,'Capital Contribution Schedule'!$B$13:$B$22,0),MATCH($C67,'Capital Contribution Schedule'!$B$13:$E$13,0)),0)=0,Y67,Y67+_xlfn.IFNA(INDEX('Capital Contribution Schedule'!$B$13:$E$36,MATCH(Z$45,'Capital Contribution Schedule'!$B$13:$B$22,0),MATCH($C67,'Capital Contribution Schedule'!$B$13:$E$13,0)),0)))</f>
        <v>0</v>
      </c>
      <c r="AA67" s="22">
        <f>IF(AA45=0,0,IF(_xlfn.IFNA(INDEX('Capital Contribution Schedule'!$B$13:$E$36,MATCH(AA$45,'Capital Contribution Schedule'!$B$13:$B$22,0),MATCH($C67,'Capital Contribution Schedule'!$B$13:$E$13,0)),0)=0,Z67,Z67+_xlfn.IFNA(INDEX('Capital Contribution Schedule'!$B$13:$E$36,MATCH(AA$45,'Capital Contribution Schedule'!$B$13:$B$22,0),MATCH($C67,'Capital Contribution Schedule'!$B$13:$E$13,0)),0)))</f>
        <v>0</v>
      </c>
      <c r="AB67" s="22">
        <f>IF(AB45=0,0,IF(_xlfn.IFNA(INDEX('Capital Contribution Schedule'!$B$13:$E$36,MATCH(AB$45,'Capital Contribution Schedule'!$B$13:$B$22,0),MATCH($C67,'Capital Contribution Schedule'!$B$13:$E$13,0)),0)=0,AA67,AA67+_xlfn.IFNA(INDEX('Capital Contribution Schedule'!$B$13:$E$36,MATCH(AB$45,'Capital Contribution Schedule'!$B$13:$B$22,0),MATCH($C67,'Capital Contribution Schedule'!$B$13:$E$13,0)),0)))</f>
        <v>0</v>
      </c>
      <c r="AC67" s="22">
        <f>IF(AC45=0,0,IF(_xlfn.IFNA(INDEX('Capital Contribution Schedule'!$B$13:$E$36,MATCH(AC$45,'Capital Contribution Schedule'!$B$13:$B$22,0),MATCH($C67,'Capital Contribution Schedule'!$B$13:$E$13,0)),0)=0,AB67,AB67+_xlfn.IFNA(INDEX('Capital Contribution Schedule'!$B$13:$E$36,MATCH(AC$45,'Capital Contribution Schedule'!$B$13:$B$22,0),MATCH($C67,'Capital Contribution Schedule'!$B$13:$E$13,0)),0)))</f>
        <v>0</v>
      </c>
      <c r="AD67" s="22">
        <f>IF(AD45=0,0,IF(_xlfn.IFNA(INDEX('Capital Contribution Schedule'!$B$13:$E$36,MATCH(AD$45,'Capital Contribution Schedule'!$B$13:$B$22,0),MATCH($C67,'Capital Contribution Schedule'!$B$13:$E$13,0)),0)=0,AC67,AC67+_xlfn.IFNA(INDEX('Capital Contribution Schedule'!$B$13:$E$36,MATCH(AD$45,'Capital Contribution Schedule'!$B$13:$B$22,0),MATCH($C67,'Capital Contribution Schedule'!$B$13:$E$13,0)),0)))</f>
        <v>0</v>
      </c>
      <c r="AE67" s="22">
        <f>IF(AE45=0,0,IF(_xlfn.IFNA(INDEX('Capital Contribution Schedule'!$B$13:$E$36,MATCH(AE$45,'Capital Contribution Schedule'!$B$13:$B$22,0),MATCH($C67,'Capital Contribution Schedule'!$B$13:$E$13,0)),0)=0,AD67,AD67+_xlfn.IFNA(INDEX('Capital Contribution Schedule'!$B$13:$E$36,MATCH(AE$45,'Capital Contribution Schedule'!$B$13:$B$22,0),MATCH($C67,'Capital Contribution Schedule'!$B$13:$E$13,0)),0)))</f>
        <v>0</v>
      </c>
      <c r="AF67" s="22">
        <f>IF(AF45=0,0,IF(_xlfn.IFNA(INDEX('Capital Contribution Schedule'!$B$13:$E$36,MATCH(AF$45,'Capital Contribution Schedule'!$B$13:$B$22,0),MATCH($C67,'Capital Contribution Schedule'!$B$13:$E$13,0)),0)=0,AE67,AE67+_xlfn.IFNA(INDEX('Capital Contribution Schedule'!$B$13:$E$36,MATCH(AF$45,'Capital Contribution Schedule'!$B$13:$B$22,0),MATCH($C67,'Capital Contribution Schedule'!$B$13:$E$13,0)),0)))</f>
        <v>0</v>
      </c>
      <c r="AG67" s="22">
        <f>IF(AG45=0,0,IF(_xlfn.IFNA(INDEX('Capital Contribution Schedule'!$B$13:$E$36,MATCH(AG$45,'Capital Contribution Schedule'!$B$13:$B$22,0),MATCH($C67,'Capital Contribution Schedule'!$B$13:$E$13,0)),0)=0,AF67,AF67+_xlfn.IFNA(INDEX('Capital Contribution Schedule'!$B$13:$E$36,MATCH(AG$45,'Capital Contribution Schedule'!$B$13:$B$22,0),MATCH($C67,'Capital Contribution Schedule'!$B$13:$E$13,0)),0)))</f>
        <v>0</v>
      </c>
    </row>
    <row r="68" spans="2:159" x14ac:dyDescent="0.4">
      <c r="C68" s="1" t="s">
        <v>85</v>
      </c>
      <c r="D68" s="22">
        <f>IF(_xlfn.IFNA(INDEX('Capital Contribution Schedule'!$B$13:$E$36,MATCH(D$45,'Capital Contribution Schedule'!$B$13:$B$22,0),MATCH($C68,'Capital Contribution Schedule'!$B$13:$E$13,0)),0)=0,$B68,$B68+_xlfn.IFNA(INDEX('Capital Contribution Schedule'!$B$13:$E$36,MATCH(D$45,'Capital Contribution Schedule'!$B$13:$B$22,0),MATCH($C68,'Capital Contribution Schedule'!$B$13:$E$13,0)),0))</f>
        <v>2429093.6005217852</v>
      </c>
      <c r="E68" s="22">
        <f>IF(E45=0,0,IF(_xlfn.IFNA(INDEX('Capital Contribution Schedule'!$B$13:$E$36,MATCH(E$45,'Capital Contribution Schedule'!$B$13:$B$22,0),MATCH($C68,'Capital Contribution Schedule'!$B$13:$E$13,0)),0)=0,D68,D68+_xlfn.IFNA(INDEX('Capital Contribution Schedule'!$B$13:$E$36,MATCH(E$45,'Capital Contribution Schedule'!$B$13:$B$22,0),MATCH($C68,'Capital Contribution Schedule'!$B$13:$E$13,0)),0)))</f>
        <v>2429093.6005217852</v>
      </c>
      <c r="F68" s="22">
        <f>IF(F45=0,0,IF(_xlfn.IFNA(INDEX('Capital Contribution Schedule'!$B$13:$E$36,MATCH(F$45,'Capital Contribution Schedule'!$B$13:$B$22,0),MATCH($C68,'Capital Contribution Schedule'!$B$13:$E$13,0)),0)=0,E68,E68+_xlfn.IFNA(INDEX('Capital Contribution Schedule'!$B$13:$E$36,MATCH(F$45,'Capital Contribution Schedule'!$B$13:$B$22,0),MATCH($C68,'Capital Contribution Schedule'!$B$13:$E$13,0)),0)))</f>
        <v>2429093.6005217852</v>
      </c>
      <c r="G68" s="22">
        <f>IF(G45=0,0,IF(_xlfn.IFNA(INDEX('Capital Contribution Schedule'!$B$13:$E$36,MATCH(G$45,'Capital Contribution Schedule'!$B$13:$B$22,0),MATCH($C68,'Capital Contribution Schedule'!$B$13:$E$13,0)),0)=0,F68,F68+_xlfn.IFNA(INDEX('Capital Contribution Schedule'!$B$13:$E$36,MATCH(G$45,'Capital Contribution Schedule'!$B$13:$B$22,0),MATCH($C68,'Capital Contribution Schedule'!$B$13:$E$13,0)),0)))</f>
        <v>2429093.6005217852</v>
      </c>
      <c r="H68" s="22">
        <f>IF(H45=0,0,IF(_xlfn.IFNA(INDEX('Capital Contribution Schedule'!$B$13:$E$36,MATCH(H$45,'Capital Contribution Schedule'!$B$13:$B$22,0),MATCH($C68,'Capital Contribution Schedule'!$B$13:$E$13,0)),0)=0,G68,G68+_xlfn.IFNA(INDEX('Capital Contribution Schedule'!$B$13:$E$36,MATCH(H$45,'Capital Contribution Schedule'!$B$13:$B$22,0),MATCH($C68,'Capital Contribution Schedule'!$B$13:$E$13,0)),0)))</f>
        <v>2429093.6005217852</v>
      </c>
      <c r="I68" s="22">
        <f>IF(I45=0,0,IF(_xlfn.IFNA(INDEX('Capital Contribution Schedule'!$B$13:$E$36,MATCH(I$45,'Capital Contribution Schedule'!$B$13:$B$22,0),MATCH($C68,'Capital Contribution Schedule'!$B$13:$E$13,0)),0)=0,H68,H68+_xlfn.IFNA(INDEX('Capital Contribution Schedule'!$B$13:$E$36,MATCH(I$45,'Capital Contribution Schedule'!$B$13:$B$22,0),MATCH($C68,'Capital Contribution Schedule'!$B$13:$E$13,0)),0)))</f>
        <v>2429093.6005217852</v>
      </c>
      <c r="J68" s="22">
        <f>IF(J45=0,0,IF(_xlfn.IFNA(INDEX('Capital Contribution Schedule'!$B$13:$E$36,MATCH(J$45,'Capital Contribution Schedule'!$B$13:$B$22,0),MATCH($C68,'Capital Contribution Schedule'!$B$13:$E$13,0)),0)=0,I68,I68+_xlfn.IFNA(INDEX('Capital Contribution Schedule'!$B$13:$E$36,MATCH(J$45,'Capital Contribution Schedule'!$B$13:$B$22,0),MATCH($C68,'Capital Contribution Schedule'!$B$13:$E$13,0)),0)))</f>
        <v>2429093.6005217852</v>
      </c>
      <c r="K68" s="22">
        <f>IF(K45=0,0,IF(_xlfn.IFNA(INDEX('Capital Contribution Schedule'!$B$13:$E$36,MATCH(K$45,'Capital Contribution Schedule'!$B$13:$B$22,0),MATCH($C68,'Capital Contribution Schedule'!$B$13:$E$13,0)),0)=0,J68,J68+_xlfn.IFNA(INDEX('Capital Contribution Schedule'!$B$13:$E$36,MATCH(K$45,'Capital Contribution Schedule'!$B$13:$B$22,0),MATCH($C68,'Capital Contribution Schedule'!$B$13:$E$13,0)),0)))</f>
        <v>2429093.6005217852</v>
      </c>
      <c r="L68" s="22">
        <f>IF(L45=0,0,IF(_xlfn.IFNA(INDEX('Capital Contribution Schedule'!$B$13:$E$36,MATCH(L$45,'Capital Contribution Schedule'!$B$13:$B$22,0),MATCH($C68,'Capital Contribution Schedule'!$B$13:$E$13,0)),0)=0,K68,K68+_xlfn.IFNA(INDEX('Capital Contribution Schedule'!$B$13:$E$36,MATCH(L$45,'Capital Contribution Schedule'!$B$13:$B$22,0),MATCH($C68,'Capital Contribution Schedule'!$B$13:$E$13,0)),0)))</f>
        <v>2429093.6005217852</v>
      </c>
      <c r="M68" s="22">
        <f>IF(M45=0,0,IF(_xlfn.IFNA(INDEX('Capital Contribution Schedule'!$B$13:$E$36,MATCH(M$45,'Capital Contribution Schedule'!$B$13:$B$22,0),MATCH($C68,'Capital Contribution Schedule'!$B$13:$E$13,0)),0)=0,L68,L68+_xlfn.IFNA(INDEX('Capital Contribution Schedule'!$B$13:$E$36,MATCH(M$45,'Capital Contribution Schedule'!$B$13:$B$22,0),MATCH($C68,'Capital Contribution Schedule'!$B$13:$E$13,0)),0)))</f>
        <v>2429093.6005217852</v>
      </c>
      <c r="N68" s="22">
        <f>IF(N45=0,0,IF(_xlfn.IFNA(INDEX('Capital Contribution Schedule'!$B$13:$E$36,MATCH(N$45,'Capital Contribution Schedule'!$B$13:$B$22,0),MATCH($C68,'Capital Contribution Schedule'!$B$13:$E$13,0)),0)=0,M68,M68+_xlfn.IFNA(INDEX('Capital Contribution Schedule'!$B$13:$E$36,MATCH(N$45,'Capital Contribution Schedule'!$B$13:$B$22,0),MATCH($C68,'Capital Contribution Schedule'!$B$13:$E$13,0)),0)))</f>
        <v>2429093.6005217852</v>
      </c>
      <c r="O68" s="22">
        <f>IF(O45=0,0,IF(_xlfn.IFNA(INDEX('Capital Contribution Schedule'!$B$13:$E$36,MATCH(O$45,'Capital Contribution Schedule'!$B$13:$B$22,0),MATCH($C68,'Capital Contribution Schedule'!$B$13:$E$13,0)),0)=0,N68,N68+_xlfn.IFNA(INDEX('Capital Contribution Schedule'!$B$13:$E$36,MATCH(O$45,'Capital Contribution Schedule'!$B$13:$B$22,0),MATCH($C68,'Capital Contribution Schedule'!$B$13:$E$13,0)),0)))</f>
        <v>2429093.6005217852</v>
      </c>
      <c r="P68" s="22">
        <f>IF(P45=0,0,IF(_xlfn.IFNA(INDEX('Capital Contribution Schedule'!$B$13:$E$36,MATCH(P$45,'Capital Contribution Schedule'!$B$13:$B$22,0),MATCH($C68,'Capital Contribution Schedule'!$B$13:$E$13,0)),0)=0,O68,O68+_xlfn.IFNA(INDEX('Capital Contribution Schedule'!$B$13:$E$36,MATCH(P$45,'Capital Contribution Schedule'!$B$13:$B$22,0),MATCH($C68,'Capital Contribution Schedule'!$B$13:$E$13,0)),0)))</f>
        <v>2429093.6005217852</v>
      </c>
      <c r="Q68" s="22">
        <f>IF(Q45=0,0,IF(_xlfn.IFNA(INDEX('Capital Contribution Schedule'!$B$13:$E$36,MATCH(Q$45,'Capital Contribution Schedule'!$B$13:$B$22,0),MATCH($C68,'Capital Contribution Schedule'!$B$13:$E$13,0)),0)=0,P68,P68+_xlfn.IFNA(INDEX('Capital Contribution Schedule'!$B$13:$E$36,MATCH(Q$45,'Capital Contribution Schedule'!$B$13:$B$22,0),MATCH($C68,'Capital Contribution Schedule'!$B$13:$E$13,0)),0)))</f>
        <v>2429093.6005217852</v>
      </c>
      <c r="R68" s="22">
        <f>IF(R45=0,0,IF(_xlfn.IFNA(INDEX('Capital Contribution Schedule'!$B$13:$E$36,MATCH(R$45,'Capital Contribution Schedule'!$B$13:$B$22,0),MATCH($C68,'Capital Contribution Schedule'!$B$13:$E$13,0)),0)=0,Q68,Q68+_xlfn.IFNA(INDEX('Capital Contribution Schedule'!$B$13:$E$36,MATCH(R$45,'Capital Contribution Schedule'!$B$13:$B$22,0),MATCH($C68,'Capital Contribution Schedule'!$B$13:$E$13,0)),0)))</f>
        <v>2429093.6005217852</v>
      </c>
      <c r="S68" s="22">
        <f>IF(S45=0,0,IF(_xlfn.IFNA(INDEX('Capital Contribution Schedule'!$B$13:$E$36,MATCH(S$45,'Capital Contribution Schedule'!$B$13:$B$22,0),MATCH($C68,'Capital Contribution Schedule'!$B$13:$E$13,0)),0)=0,R68,R68+_xlfn.IFNA(INDEX('Capital Contribution Schedule'!$B$13:$E$36,MATCH(S$45,'Capital Contribution Schedule'!$B$13:$B$22,0),MATCH($C68,'Capital Contribution Schedule'!$B$13:$E$13,0)),0)))</f>
        <v>0</v>
      </c>
      <c r="T68" s="22">
        <f>IF(T45=0,0,IF(_xlfn.IFNA(INDEX('Capital Contribution Schedule'!$B$13:$E$36,MATCH(T$45,'Capital Contribution Schedule'!$B$13:$B$22,0),MATCH($C68,'Capital Contribution Schedule'!$B$13:$E$13,0)),0)=0,S68,S68+_xlfn.IFNA(INDEX('Capital Contribution Schedule'!$B$13:$E$36,MATCH(T$45,'Capital Contribution Schedule'!$B$13:$B$22,0),MATCH($C68,'Capital Contribution Schedule'!$B$13:$E$13,0)),0)))</f>
        <v>0</v>
      </c>
      <c r="U68" s="22">
        <f>IF(U45=0,0,IF(_xlfn.IFNA(INDEX('Capital Contribution Schedule'!$B$13:$E$36,MATCH(U$45,'Capital Contribution Schedule'!$B$13:$B$22,0),MATCH($C68,'Capital Contribution Schedule'!$B$13:$E$13,0)),0)=0,T68,T68+_xlfn.IFNA(INDEX('Capital Contribution Schedule'!$B$13:$E$36,MATCH(U$45,'Capital Contribution Schedule'!$B$13:$B$22,0),MATCH($C68,'Capital Contribution Schedule'!$B$13:$E$13,0)),0)))</f>
        <v>0</v>
      </c>
      <c r="V68" s="22">
        <f>IF(V45=0,0,IF(_xlfn.IFNA(INDEX('Capital Contribution Schedule'!$B$13:$E$36,MATCH(V$45,'Capital Contribution Schedule'!$B$13:$B$22,0),MATCH($C68,'Capital Contribution Schedule'!$B$13:$E$13,0)),0)=0,U68,U68+_xlfn.IFNA(INDEX('Capital Contribution Schedule'!$B$13:$E$36,MATCH(V$45,'Capital Contribution Schedule'!$B$13:$B$22,0),MATCH($C68,'Capital Contribution Schedule'!$B$13:$E$13,0)),0)))</f>
        <v>0</v>
      </c>
      <c r="W68" s="22">
        <f>IF(W45=0,0,IF(_xlfn.IFNA(INDEX('Capital Contribution Schedule'!$B$13:$E$36,MATCH(W$45,'Capital Contribution Schedule'!$B$13:$B$22,0),MATCH($C68,'Capital Contribution Schedule'!$B$13:$E$13,0)),0)=0,V68,V68+_xlfn.IFNA(INDEX('Capital Contribution Schedule'!$B$13:$E$36,MATCH(W$45,'Capital Contribution Schedule'!$B$13:$B$22,0),MATCH($C68,'Capital Contribution Schedule'!$B$13:$E$13,0)),0)))</f>
        <v>0</v>
      </c>
      <c r="X68" s="22">
        <f>IF(X45=0,0,IF(_xlfn.IFNA(INDEX('Capital Contribution Schedule'!$B$13:$E$36,MATCH(X$45,'Capital Contribution Schedule'!$B$13:$B$22,0),MATCH($C68,'Capital Contribution Schedule'!$B$13:$E$13,0)),0)=0,W68,W68+_xlfn.IFNA(INDEX('Capital Contribution Schedule'!$B$13:$E$36,MATCH(X$45,'Capital Contribution Schedule'!$B$13:$B$22,0),MATCH($C68,'Capital Contribution Schedule'!$B$13:$E$13,0)),0)))</f>
        <v>0</v>
      </c>
      <c r="Y68" s="22">
        <f>IF(Y45=0,0,IF(_xlfn.IFNA(INDEX('Capital Contribution Schedule'!$B$13:$E$36,MATCH(Y$45,'Capital Contribution Schedule'!$B$13:$B$22,0),MATCH($C68,'Capital Contribution Schedule'!$B$13:$E$13,0)),0)=0,X68,X68+_xlfn.IFNA(INDEX('Capital Contribution Schedule'!$B$13:$E$36,MATCH(Y$45,'Capital Contribution Schedule'!$B$13:$B$22,0),MATCH($C68,'Capital Contribution Schedule'!$B$13:$E$13,0)),0)))</f>
        <v>0</v>
      </c>
      <c r="Z68" s="22">
        <f>IF(Z45=0,0,IF(_xlfn.IFNA(INDEX('Capital Contribution Schedule'!$B$13:$E$36,MATCH(Z$45,'Capital Contribution Schedule'!$B$13:$B$22,0),MATCH($C68,'Capital Contribution Schedule'!$B$13:$E$13,0)),0)=0,Y68,Y68+_xlfn.IFNA(INDEX('Capital Contribution Schedule'!$B$13:$E$36,MATCH(Z$45,'Capital Contribution Schedule'!$B$13:$B$22,0),MATCH($C68,'Capital Contribution Schedule'!$B$13:$E$13,0)),0)))</f>
        <v>0</v>
      </c>
      <c r="AA68" s="22">
        <f>IF(AA45=0,0,IF(_xlfn.IFNA(INDEX('Capital Contribution Schedule'!$B$13:$E$36,MATCH(AA$45,'Capital Contribution Schedule'!$B$13:$B$22,0),MATCH($C68,'Capital Contribution Schedule'!$B$13:$E$13,0)),0)=0,Z68,Z68+_xlfn.IFNA(INDEX('Capital Contribution Schedule'!$B$13:$E$36,MATCH(AA$45,'Capital Contribution Schedule'!$B$13:$B$22,0),MATCH($C68,'Capital Contribution Schedule'!$B$13:$E$13,0)),0)))</f>
        <v>0</v>
      </c>
      <c r="AB68" s="22">
        <f>IF(AB45=0,0,IF(_xlfn.IFNA(INDEX('Capital Contribution Schedule'!$B$13:$E$36,MATCH(AB$45,'Capital Contribution Schedule'!$B$13:$B$22,0),MATCH($C68,'Capital Contribution Schedule'!$B$13:$E$13,0)),0)=0,AA68,AA68+_xlfn.IFNA(INDEX('Capital Contribution Schedule'!$B$13:$E$36,MATCH(AB$45,'Capital Contribution Schedule'!$B$13:$B$22,0),MATCH($C68,'Capital Contribution Schedule'!$B$13:$E$13,0)),0)))</f>
        <v>0</v>
      </c>
      <c r="AC68" s="22">
        <f>IF(AC45=0,0,IF(_xlfn.IFNA(INDEX('Capital Contribution Schedule'!$B$13:$E$36,MATCH(AC$45,'Capital Contribution Schedule'!$B$13:$B$22,0),MATCH($C68,'Capital Contribution Schedule'!$B$13:$E$13,0)),0)=0,AB68,AB68+_xlfn.IFNA(INDEX('Capital Contribution Schedule'!$B$13:$E$36,MATCH(AC$45,'Capital Contribution Schedule'!$B$13:$B$22,0),MATCH($C68,'Capital Contribution Schedule'!$B$13:$E$13,0)),0)))</f>
        <v>0</v>
      </c>
      <c r="AD68" s="22">
        <f>IF(AD45=0,0,IF(_xlfn.IFNA(INDEX('Capital Contribution Schedule'!$B$13:$E$36,MATCH(AD$45,'Capital Contribution Schedule'!$B$13:$B$22,0),MATCH($C68,'Capital Contribution Schedule'!$B$13:$E$13,0)),0)=0,AC68,AC68+_xlfn.IFNA(INDEX('Capital Contribution Schedule'!$B$13:$E$36,MATCH(AD$45,'Capital Contribution Schedule'!$B$13:$B$22,0),MATCH($C68,'Capital Contribution Schedule'!$B$13:$E$13,0)),0)))</f>
        <v>0</v>
      </c>
      <c r="AE68" s="22">
        <f>IF(AE45=0,0,IF(_xlfn.IFNA(INDEX('Capital Contribution Schedule'!$B$13:$E$36,MATCH(AE$45,'Capital Contribution Schedule'!$B$13:$B$22,0),MATCH($C68,'Capital Contribution Schedule'!$B$13:$E$13,0)),0)=0,AD68,AD68+_xlfn.IFNA(INDEX('Capital Contribution Schedule'!$B$13:$E$36,MATCH(AE$45,'Capital Contribution Schedule'!$B$13:$B$22,0),MATCH($C68,'Capital Contribution Schedule'!$B$13:$E$13,0)),0)))</f>
        <v>0</v>
      </c>
      <c r="AF68" s="22">
        <f>IF(AF45=0,0,IF(_xlfn.IFNA(INDEX('Capital Contribution Schedule'!$B$13:$E$36,MATCH(AF$45,'Capital Contribution Schedule'!$B$13:$B$22,0),MATCH($C68,'Capital Contribution Schedule'!$B$13:$E$13,0)),0)=0,AE68,AE68+_xlfn.IFNA(INDEX('Capital Contribution Schedule'!$B$13:$E$36,MATCH(AF$45,'Capital Contribution Schedule'!$B$13:$B$22,0),MATCH($C68,'Capital Contribution Schedule'!$B$13:$E$13,0)),0)))</f>
        <v>0</v>
      </c>
      <c r="AG68" s="22">
        <f>IF(AG45=0,0,IF(_xlfn.IFNA(INDEX('Capital Contribution Schedule'!$B$13:$E$36,MATCH(AG$45,'Capital Contribution Schedule'!$B$13:$B$22,0),MATCH($C68,'Capital Contribution Schedule'!$B$13:$E$13,0)),0)=0,AF68,AF68+_xlfn.IFNA(INDEX('Capital Contribution Schedule'!$B$13:$E$36,MATCH(AG$45,'Capital Contribution Schedule'!$B$13:$B$22,0),MATCH($C68,'Capital Contribution Schedule'!$B$13:$E$13,0)),0)))</f>
        <v>0</v>
      </c>
    </row>
    <row r="69" spans="2:159" x14ac:dyDescent="0.4">
      <c r="C69" s="1" t="s">
        <v>90</v>
      </c>
      <c r="D69" s="6">
        <f>SUM(D65:D68)</f>
        <v>2987139.4585778876</v>
      </c>
      <c r="E69" s="6">
        <f t="shared" ref="E69:R69" si="39">SUM(E65:E68)</f>
        <v>-285328.3880522456</v>
      </c>
      <c r="F69" s="6">
        <f t="shared" si="39"/>
        <v>37482.334031447768</v>
      </c>
      <c r="G69" s="6">
        <f t="shared" si="39"/>
        <v>354618.06033352274</v>
      </c>
      <c r="H69" s="6">
        <f t="shared" si="39"/>
        <v>665890.55143255624</v>
      </c>
      <c r="I69" s="6">
        <f t="shared" si="39"/>
        <v>971102.38468039059</v>
      </c>
      <c r="J69" s="6">
        <f t="shared" si="39"/>
        <v>1270046.5046600734</v>
      </c>
      <c r="K69" s="6">
        <f t="shared" si="39"/>
        <v>1562505.7513439448</v>
      </c>
      <c r="L69" s="6">
        <f t="shared" si="39"/>
        <v>1848252.3648404747</v>
      </c>
      <c r="M69" s="6">
        <f t="shared" si="39"/>
        <v>2127047.4655629434</v>
      </c>
      <c r="N69" s="6">
        <f t="shared" si="39"/>
        <v>2398640.5085947998</v>
      </c>
      <c r="O69" s="6">
        <f t="shared" si="39"/>
        <v>2662768.7109653344</v>
      </c>
      <c r="P69" s="6">
        <f t="shared" si="39"/>
        <v>2919156.4504850735</v>
      </c>
      <c r="Q69" s="6">
        <f t="shared" si="39"/>
        <v>3167514.6347228424</v>
      </c>
      <c r="R69" s="6">
        <f t="shared" si="39"/>
        <v>3407540.0386356218</v>
      </c>
      <c r="S69" s="6">
        <f t="shared" ref="S69:AG69" si="40">SUM(S65:S68)</f>
        <v>0</v>
      </c>
      <c r="T69" s="6">
        <f t="shared" si="40"/>
        <v>0</v>
      </c>
      <c r="U69" s="6">
        <f t="shared" si="40"/>
        <v>0</v>
      </c>
      <c r="V69" s="6">
        <f t="shared" si="40"/>
        <v>0</v>
      </c>
      <c r="W69" s="6">
        <f t="shared" si="40"/>
        <v>0</v>
      </c>
      <c r="X69" s="6">
        <f t="shared" si="40"/>
        <v>0</v>
      </c>
      <c r="Y69" s="6">
        <f t="shared" si="40"/>
        <v>0</v>
      </c>
      <c r="Z69" s="6">
        <f t="shared" si="40"/>
        <v>0</v>
      </c>
      <c r="AA69" s="6">
        <f t="shared" si="40"/>
        <v>0</v>
      </c>
      <c r="AB69" s="6">
        <f t="shared" si="40"/>
        <v>0</v>
      </c>
      <c r="AC69" s="6">
        <f t="shared" si="40"/>
        <v>0</v>
      </c>
      <c r="AD69" s="6">
        <f t="shared" si="40"/>
        <v>0</v>
      </c>
      <c r="AE69" s="6">
        <f t="shared" si="40"/>
        <v>0</v>
      </c>
      <c r="AF69" s="6">
        <f t="shared" si="40"/>
        <v>0</v>
      </c>
      <c r="AG69" s="6">
        <f t="shared" si="40"/>
        <v>0</v>
      </c>
    </row>
    <row r="71" spans="2:159" ht="11.7" thickBot="1" x14ac:dyDescent="0.45">
      <c r="C71" s="1" t="s">
        <v>91</v>
      </c>
      <c r="D71" s="45">
        <f>D69+D62</f>
        <v>4592703.4580561025</v>
      </c>
      <c r="E71" s="45">
        <f t="shared" ref="E71:R71" si="41">E69+E62</f>
        <v>1309274.3593450852</v>
      </c>
      <c r="F71" s="45">
        <f t="shared" si="41"/>
        <v>1546097.8214653118</v>
      </c>
      <c r="G71" s="45">
        <f t="shared" si="41"/>
        <v>1773744.3569977465</v>
      </c>
      <c r="H71" s="45">
        <f t="shared" si="41"/>
        <v>1991853.555284082</v>
      </c>
      <c r="I71" s="45">
        <f t="shared" si="41"/>
        <v>2200047.3114535213</v>
      </c>
      <c r="J71" s="45">
        <f t="shared" si="41"/>
        <v>2397928.9531657416</v>
      </c>
      <c r="K71" s="45">
        <f t="shared" si="41"/>
        <v>2585082.3239052966</v>
      </c>
      <c r="L71" s="45">
        <f t="shared" si="41"/>
        <v>2761070.8206593581</v>
      </c>
      <c r="M71" s="45">
        <f t="shared" si="41"/>
        <v>2925436.3837023806</v>
      </c>
      <c r="N71" s="45">
        <f t="shared" si="41"/>
        <v>3077698.4360975442</v>
      </c>
      <c r="O71" s="45">
        <f t="shared" si="41"/>
        <v>3217352.7704054033</v>
      </c>
      <c r="P71" s="45">
        <f t="shared" si="41"/>
        <v>3343870.3799647917</v>
      </c>
      <c r="Q71" s="45">
        <f t="shared" si="41"/>
        <v>3456696.231979378</v>
      </c>
      <c r="R71" s="45">
        <f t="shared" si="41"/>
        <v>3555247.979505023</v>
      </c>
      <c r="S71" s="45">
        <f t="shared" ref="S71:AG71" si="42">S69+S62</f>
        <v>0</v>
      </c>
      <c r="T71" s="45">
        <f t="shared" si="42"/>
        <v>0</v>
      </c>
      <c r="U71" s="45">
        <f t="shared" si="42"/>
        <v>0</v>
      </c>
      <c r="V71" s="45">
        <f t="shared" si="42"/>
        <v>0</v>
      </c>
      <c r="W71" s="45">
        <f t="shared" si="42"/>
        <v>0</v>
      </c>
      <c r="X71" s="45">
        <f t="shared" si="42"/>
        <v>0</v>
      </c>
      <c r="Y71" s="45">
        <f t="shared" si="42"/>
        <v>0</v>
      </c>
      <c r="Z71" s="45">
        <f t="shared" si="42"/>
        <v>0</v>
      </c>
      <c r="AA71" s="45">
        <f t="shared" si="42"/>
        <v>0</v>
      </c>
      <c r="AB71" s="45">
        <f t="shared" si="42"/>
        <v>0</v>
      </c>
      <c r="AC71" s="45">
        <f t="shared" si="42"/>
        <v>0</v>
      </c>
      <c r="AD71" s="45">
        <f t="shared" si="42"/>
        <v>0</v>
      </c>
      <c r="AE71" s="45">
        <f t="shared" si="42"/>
        <v>0</v>
      </c>
      <c r="AF71" s="45">
        <f t="shared" si="42"/>
        <v>0</v>
      </c>
      <c r="AG71" s="45">
        <f t="shared" si="42"/>
        <v>0</v>
      </c>
    </row>
    <row r="72" spans="2:159" ht="11.7" thickTop="1" x14ac:dyDescent="0.4"/>
    <row r="73" spans="2:159" x14ac:dyDescent="0.4">
      <c r="C73" s="50"/>
      <c r="D73" s="13">
        <f>D56-D71</f>
        <v>0</v>
      </c>
      <c r="E73" s="13">
        <f t="shared" ref="E73:R73" si="43">E56-E71</f>
        <v>0</v>
      </c>
      <c r="F73" s="13">
        <f t="shared" si="43"/>
        <v>0</v>
      </c>
      <c r="G73" s="13">
        <f t="shared" si="43"/>
        <v>0</v>
      </c>
      <c r="H73" s="13">
        <f t="shared" si="43"/>
        <v>0</v>
      </c>
      <c r="I73" s="13">
        <f t="shared" si="43"/>
        <v>0</v>
      </c>
      <c r="J73" s="13">
        <f t="shared" si="43"/>
        <v>0</v>
      </c>
      <c r="K73" s="13">
        <f t="shared" si="43"/>
        <v>0</v>
      </c>
      <c r="L73" s="13">
        <f t="shared" si="43"/>
        <v>0</v>
      </c>
      <c r="M73" s="13">
        <f t="shared" si="43"/>
        <v>0</v>
      </c>
      <c r="N73" s="13">
        <f t="shared" si="43"/>
        <v>0</v>
      </c>
      <c r="O73" s="13">
        <f t="shared" si="43"/>
        <v>0</v>
      </c>
      <c r="P73" s="13">
        <f t="shared" si="43"/>
        <v>0</v>
      </c>
      <c r="Q73" s="13">
        <f t="shared" si="43"/>
        <v>0</v>
      </c>
      <c r="R73" s="13">
        <f t="shared" si="43"/>
        <v>0</v>
      </c>
      <c r="S73" s="13">
        <f t="shared" ref="S73:AG73" si="44">S56-S71</f>
        <v>0</v>
      </c>
      <c r="T73" s="13">
        <f t="shared" si="44"/>
        <v>0</v>
      </c>
      <c r="U73" s="13">
        <f t="shared" si="44"/>
        <v>0</v>
      </c>
      <c r="V73" s="13">
        <f t="shared" si="44"/>
        <v>0</v>
      </c>
      <c r="W73" s="13">
        <f t="shared" si="44"/>
        <v>0</v>
      </c>
      <c r="X73" s="13">
        <f t="shared" si="44"/>
        <v>0</v>
      </c>
      <c r="Y73" s="13">
        <f t="shared" si="44"/>
        <v>0</v>
      </c>
      <c r="Z73" s="13">
        <f t="shared" si="44"/>
        <v>0</v>
      </c>
      <c r="AA73" s="13">
        <f t="shared" si="44"/>
        <v>0</v>
      </c>
      <c r="AB73" s="13">
        <f t="shared" si="44"/>
        <v>0</v>
      </c>
      <c r="AC73" s="13">
        <f t="shared" si="44"/>
        <v>0</v>
      </c>
      <c r="AD73" s="13">
        <f t="shared" si="44"/>
        <v>0</v>
      </c>
      <c r="AE73" s="13">
        <f t="shared" si="44"/>
        <v>0</v>
      </c>
      <c r="AF73" s="13">
        <f t="shared" si="44"/>
        <v>0</v>
      </c>
      <c r="AG73" s="13">
        <f t="shared" si="44"/>
        <v>0</v>
      </c>
    </row>
    <row r="74" spans="2:159" x14ac:dyDescent="0.4">
      <c r="C74" s="50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</row>
    <row r="78" spans="2:159" ht="12.3" x14ac:dyDescent="0.4">
      <c r="B78" s="106" t="s">
        <v>98</v>
      </c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  <c r="AA78" s="106"/>
      <c r="AB78" s="106"/>
      <c r="AC78" s="106"/>
      <c r="AD78" s="106"/>
      <c r="AE78" s="106"/>
      <c r="AF78" s="106"/>
      <c r="AG78" s="106"/>
    </row>
    <row r="79" spans="2:159" ht="12.3" x14ac:dyDescent="0.4">
      <c r="C79" s="49"/>
    </row>
    <row r="80" spans="2:159" ht="11.7" thickBot="1" x14ac:dyDescent="0.45">
      <c r="C80" s="46" t="str">
        <f>C45</f>
        <v>Year</v>
      </c>
      <c r="D80" s="41">
        <f t="shared" ref="D80:R80" si="45">D45</f>
        <v>2022</v>
      </c>
      <c r="E80" s="41">
        <f t="shared" si="45"/>
        <v>2023</v>
      </c>
      <c r="F80" s="41">
        <f t="shared" si="45"/>
        <v>2024</v>
      </c>
      <c r="G80" s="41">
        <f t="shared" si="45"/>
        <v>2025</v>
      </c>
      <c r="H80" s="41">
        <f t="shared" si="45"/>
        <v>2026</v>
      </c>
      <c r="I80" s="41">
        <f t="shared" si="45"/>
        <v>2027</v>
      </c>
      <c r="J80" s="41">
        <f t="shared" si="45"/>
        <v>2028</v>
      </c>
      <c r="K80" s="41">
        <f t="shared" si="45"/>
        <v>2029</v>
      </c>
      <c r="L80" s="41">
        <f t="shared" si="45"/>
        <v>2030</v>
      </c>
      <c r="M80" s="41">
        <f t="shared" si="45"/>
        <v>2031</v>
      </c>
      <c r="N80" s="41">
        <f t="shared" si="45"/>
        <v>2032</v>
      </c>
      <c r="O80" s="41">
        <f t="shared" si="45"/>
        <v>2033</v>
      </c>
      <c r="P80" s="41">
        <f t="shared" si="45"/>
        <v>2034</v>
      </c>
      <c r="Q80" s="41">
        <f t="shared" si="45"/>
        <v>2035</v>
      </c>
      <c r="R80" s="41">
        <f t="shared" si="45"/>
        <v>2036</v>
      </c>
      <c r="S80" s="52">
        <f t="shared" ref="S80:AG80" si="46">S45</f>
        <v>0</v>
      </c>
      <c r="T80" s="52">
        <f t="shared" si="46"/>
        <v>0</v>
      </c>
      <c r="U80" s="52">
        <f t="shared" si="46"/>
        <v>0</v>
      </c>
      <c r="V80" s="52">
        <f t="shared" si="46"/>
        <v>0</v>
      </c>
      <c r="W80" s="52">
        <f t="shared" si="46"/>
        <v>0</v>
      </c>
      <c r="X80" s="52">
        <f t="shared" si="46"/>
        <v>0</v>
      </c>
      <c r="Y80" s="52">
        <f t="shared" si="46"/>
        <v>0</v>
      </c>
      <c r="Z80" s="52">
        <f t="shared" si="46"/>
        <v>0</v>
      </c>
      <c r="AA80" s="52">
        <f t="shared" si="46"/>
        <v>0</v>
      </c>
      <c r="AB80" s="52">
        <f t="shared" si="46"/>
        <v>0</v>
      </c>
      <c r="AC80" s="52">
        <f t="shared" si="46"/>
        <v>0</v>
      </c>
      <c r="AD80" s="52">
        <f t="shared" si="46"/>
        <v>0</v>
      </c>
      <c r="AE80" s="52">
        <f t="shared" si="46"/>
        <v>0</v>
      </c>
      <c r="AF80" s="52">
        <f t="shared" si="46"/>
        <v>0</v>
      </c>
      <c r="AG80" s="52">
        <f t="shared" si="46"/>
        <v>0</v>
      </c>
    </row>
    <row r="81" spans="3:33" x14ac:dyDescent="0.4"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</row>
    <row r="82" spans="3:33" x14ac:dyDescent="0.4">
      <c r="C82" s="1" t="s">
        <v>99</v>
      </c>
      <c r="D82" s="27">
        <f>D30</f>
        <v>217137.37805610249</v>
      </c>
      <c r="E82" s="27">
        <f t="shared" ref="E82:R82" si="47">E30</f>
        <v>-4636101.7666301336</v>
      </c>
      <c r="F82" s="27">
        <f t="shared" si="47"/>
        <v>322810.72208369325</v>
      </c>
      <c r="G82" s="27">
        <f t="shared" si="47"/>
        <v>317135.7263020752</v>
      </c>
      <c r="H82" s="27">
        <f t="shared" si="47"/>
        <v>311272.49109903374</v>
      </c>
      <c r="I82" s="27">
        <f t="shared" si="47"/>
        <v>305211.83324783453</v>
      </c>
      <c r="J82" s="27">
        <f t="shared" si="47"/>
        <v>298944.11997968273</v>
      </c>
      <c r="K82" s="27">
        <f t="shared" si="47"/>
        <v>292459.24668387155</v>
      </c>
      <c r="L82" s="27">
        <f t="shared" si="47"/>
        <v>285746.61349652981</v>
      </c>
      <c r="M82" s="27">
        <f t="shared" si="47"/>
        <v>278795.10072246892</v>
      </c>
      <c r="N82" s="27">
        <f t="shared" si="47"/>
        <v>271593.04303185636</v>
      </c>
      <c r="O82" s="27">
        <f t="shared" si="47"/>
        <v>264128.20237053448</v>
      </c>
      <c r="P82" s="27">
        <f t="shared" si="47"/>
        <v>256387.739519739</v>
      </c>
      <c r="Q82" s="27">
        <f t="shared" si="47"/>
        <v>248358.18423776873</v>
      </c>
      <c r="R82" s="27">
        <f t="shared" si="47"/>
        <v>240025.4039127797</v>
      </c>
      <c r="S82" s="27">
        <f t="shared" ref="S82:AG82" si="48">S30</f>
        <v>0</v>
      </c>
      <c r="T82" s="27">
        <f t="shared" si="48"/>
        <v>0</v>
      </c>
      <c r="U82" s="27">
        <f t="shared" si="48"/>
        <v>0</v>
      </c>
      <c r="V82" s="27">
        <f t="shared" si="48"/>
        <v>0</v>
      </c>
      <c r="W82" s="27">
        <f t="shared" si="48"/>
        <v>0</v>
      </c>
      <c r="X82" s="27">
        <f t="shared" si="48"/>
        <v>0</v>
      </c>
      <c r="Y82" s="27">
        <f t="shared" si="48"/>
        <v>0</v>
      </c>
      <c r="Z82" s="27">
        <f t="shared" si="48"/>
        <v>0</v>
      </c>
      <c r="AA82" s="27">
        <f t="shared" si="48"/>
        <v>0</v>
      </c>
      <c r="AB82" s="27">
        <f t="shared" si="48"/>
        <v>0</v>
      </c>
      <c r="AC82" s="27">
        <f t="shared" si="48"/>
        <v>0</v>
      </c>
      <c r="AD82" s="27">
        <f t="shared" si="48"/>
        <v>0</v>
      </c>
      <c r="AE82" s="27">
        <f t="shared" si="48"/>
        <v>0</v>
      </c>
      <c r="AF82" s="27">
        <f t="shared" si="48"/>
        <v>0</v>
      </c>
      <c r="AG82" s="27">
        <f t="shared" si="48"/>
        <v>0</v>
      </c>
    </row>
    <row r="83" spans="3:33" x14ac:dyDescent="0.4">
      <c r="C83" s="1" t="s">
        <v>100</v>
      </c>
      <c r="D83" s="27">
        <f>D24</f>
        <v>0</v>
      </c>
      <c r="E83" s="27">
        <f t="shared" ref="E83:R83" si="49">E24</f>
        <v>4964408</v>
      </c>
      <c r="F83" s="27">
        <f t="shared" si="49"/>
        <v>0</v>
      </c>
      <c r="G83" s="27">
        <f t="shared" si="49"/>
        <v>0</v>
      </c>
      <c r="H83" s="27">
        <f t="shared" si="49"/>
        <v>0</v>
      </c>
      <c r="I83" s="27">
        <f t="shared" si="49"/>
        <v>0</v>
      </c>
      <c r="J83" s="27">
        <f t="shared" si="49"/>
        <v>0</v>
      </c>
      <c r="K83" s="27">
        <f t="shared" si="49"/>
        <v>0</v>
      </c>
      <c r="L83" s="27">
        <f t="shared" si="49"/>
        <v>0</v>
      </c>
      <c r="M83" s="27">
        <f t="shared" si="49"/>
        <v>0</v>
      </c>
      <c r="N83" s="27">
        <f t="shared" si="49"/>
        <v>0</v>
      </c>
      <c r="O83" s="27">
        <f t="shared" si="49"/>
        <v>0</v>
      </c>
      <c r="P83" s="27">
        <f t="shared" si="49"/>
        <v>0</v>
      </c>
      <c r="Q83" s="27">
        <f t="shared" si="49"/>
        <v>0</v>
      </c>
      <c r="R83" s="27">
        <f t="shared" si="49"/>
        <v>0</v>
      </c>
      <c r="S83" s="27">
        <f t="shared" ref="S83:AG83" si="50">S24</f>
        <v>0</v>
      </c>
      <c r="T83" s="27">
        <f t="shared" si="50"/>
        <v>0</v>
      </c>
      <c r="U83" s="27">
        <f t="shared" si="50"/>
        <v>0</v>
      </c>
      <c r="V83" s="27">
        <f t="shared" si="50"/>
        <v>0</v>
      </c>
      <c r="W83" s="27">
        <f t="shared" si="50"/>
        <v>0</v>
      </c>
      <c r="X83" s="27">
        <f t="shared" si="50"/>
        <v>0</v>
      </c>
      <c r="Y83" s="27">
        <f t="shared" si="50"/>
        <v>0</v>
      </c>
      <c r="Z83" s="27">
        <f t="shared" si="50"/>
        <v>0</v>
      </c>
      <c r="AA83" s="27">
        <f t="shared" si="50"/>
        <v>0</v>
      </c>
      <c r="AB83" s="27">
        <f t="shared" si="50"/>
        <v>0</v>
      </c>
      <c r="AC83" s="27">
        <f t="shared" si="50"/>
        <v>0</v>
      </c>
      <c r="AD83" s="27">
        <f t="shared" si="50"/>
        <v>0</v>
      </c>
      <c r="AE83" s="27">
        <f t="shared" si="50"/>
        <v>0</v>
      </c>
      <c r="AF83" s="27">
        <f t="shared" si="50"/>
        <v>0</v>
      </c>
      <c r="AG83" s="27">
        <f t="shared" si="50"/>
        <v>0</v>
      </c>
    </row>
    <row r="84" spans="3:33" x14ac:dyDescent="0.4">
      <c r="D84" s="27"/>
      <c r="E84" s="27">
        <f t="shared" ref="E84:R84" si="51">E24</f>
        <v>4964408</v>
      </c>
      <c r="F84" s="27">
        <f t="shared" si="51"/>
        <v>0</v>
      </c>
      <c r="G84" s="27">
        <f t="shared" si="51"/>
        <v>0</v>
      </c>
      <c r="H84" s="27">
        <f t="shared" si="51"/>
        <v>0</v>
      </c>
      <c r="I84" s="27">
        <f t="shared" si="51"/>
        <v>0</v>
      </c>
      <c r="J84" s="27">
        <f t="shared" si="51"/>
        <v>0</v>
      </c>
      <c r="K84" s="27">
        <f t="shared" si="51"/>
        <v>0</v>
      </c>
      <c r="L84" s="27">
        <f t="shared" si="51"/>
        <v>0</v>
      </c>
      <c r="M84" s="27">
        <f t="shared" si="51"/>
        <v>0</v>
      </c>
      <c r="N84" s="27">
        <f t="shared" si="51"/>
        <v>0</v>
      </c>
      <c r="O84" s="27">
        <f t="shared" si="51"/>
        <v>0</v>
      </c>
      <c r="P84" s="27">
        <f t="shared" si="51"/>
        <v>0</v>
      </c>
      <c r="Q84" s="27">
        <f t="shared" si="51"/>
        <v>0</v>
      </c>
      <c r="R84" s="27">
        <f t="shared" si="51"/>
        <v>0</v>
      </c>
      <c r="S84" s="27">
        <f t="shared" ref="S84:AG84" si="52">S24</f>
        <v>0</v>
      </c>
      <c r="T84" s="27">
        <f t="shared" si="52"/>
        <v>0</v>
      </c>
      <c r="U84" s="27">
        <f t="shared" si="52"/>
        <v>0</v>
      </c>
      <c r="V84" s="27">
        <f t="shared" si="52"/>
        <v>0</v>
      </c>
      <c r="W84" s="27">
        <f t="shared" si="52"/>
        <v>0</v>
      </c>
      <c r="X84" s="27">
        <f t="shared" si="52"/>
        <v>0</v>
      </c>
      <c r="Y84" s="27">
        <f t="shared" si="52"/>
        <v>0</v>
      </c>
      <c r="Z84" s="27">
        <f t="shared" si="52"/>
        <v>0</v>
      </c>
      <c r="AA84" s="27">
        <f t="shared" si="52"/>
        <v>0</v>
      </c>
      <c r="AB84" s="27">
        <f t="shared" si="52"/>
        <v>0</v>
      </c>
      <c r="AC84" s="27">
        <f t="shared" si="52"/>
        <v>0</v>
      </c>
      <c r="AD84" s="27">
        <f t="shared" si="52"/>
        <v>0</v>
      </c>
      <c r="AE84" s="27">
        <f t="shared" si="52"/>
        <v>0</v>
      </c>
      <c r="AF84" s="27">
        <f t="shared" si="52"/>
        <v>0</v>
      </c>
      <c r="AG84" s="27">
        <f t="shared" si="52"/>
        <v>0</v>
      </c>
    </row>
    <row r="85" spans="3:33" x14ac:dyDescent="0.4">
      <c r="C85" s="1" t="s">
        <v>106</v>
      </c>
      <c r="D85" s="27">
        <f>SUM(D82:D83)</f>
        <v>217137.37805610249</v>
      </c>
      <c r="E85" s="27">
        <f t="shared" ref="E85:R85" si="53">SUM(E82:E83)</f>
        <v>328306.23336986639</v>
      </c>
      <c r="F85" s="27">
        <f t="shared" si="53"/>
        <v>322810.72208369325</v>
      </c>
      <c r="G85" s="27">
        <f t="shared" si="53"/>
        <v>317135.7263020752</v>
      </c>
      <c r="H85" s="27">
        <f t="shared" si="53"/>
        <v>311272.49109903374</v>
      </c>
      <c r="I85" s="27">
        <f t="shared" si="53"/>
        <v>305211.83324783453</v>
      </c>
      <c r="J85" s="27">
        <f t="shared" si="53"/>
        <v>298944.11997968273</v>
      </c>
      <c r="K85" s="27">
        <f t="shared" si="53"/>
        <v>292459.24668387155</v>
      </c>
      <c r="L85" s="27">
        <f t="shared" si="53"/>
        <v>285746.61349652981</v>
      </c>
      <c r="M85" s="27">
        <f t="shared" si="53"/>
        <v>278795.10072246892</v>
      </c>
      <c r="N85" s="27">
        <f t="shared" si="53"/>
        <v>271593.04303185636</v>
      </c>
      <c r="O85" s="27">
        <f t="shared" si="53"/>
        <v>264128.20237053448</v>
      </c>
      <c r="P85" s="27">
        <f t="shared" si="53"/>
        <v>256387.739519739</v>
      </c>
      <c r="Q85" s="27">
        <f t="shared" si="53"/>
        <v>248358.18423776873</v>
      </c>
      <c r="R85" s="27">
        <f t="shared" si="53"/>
        <v>240025.4039127797</v>
      </c>
      <c r="S85" s="27">
        <f t="shared" ref="S85:AG85" si="54">SUM(S82:S83)</f>
        <v>0</v>
      </c>
      <c r="T85" s="27">
        <f t="shared" si="54"/>
        <v>0</v>
      </c>
      <c r="U85" s="27">
        <f t="shared" si="54"/>
        <v>0</v>
      </c>
      <c r="V85" s="27">
        <f t="shared" si="54"/>
        <v>0</v>
      </c>
      <c r="W85" s="27">
        <f t="shared" si="54"/>
        <v>0</v>
      </c>
      <c r="X85" s="27">
        <f t="shared" si="54"/>
        <v>0</v>
      </c>
      <c r="Y85" s="27">
        <f t="shared" si="54"/>
        <v>0</v>
      </c>
      <c r="Z85" s="27">
        <f t="shared" si="54"/>
        <v>0</v>
      </c>
      <c r="AA85" s="27">
        <f t="shared" si="54"/>
        <v>0</v>
      </c>
      <c r="AB85" s="27">
        <f t="shared" si="54"/>
        <v>0</v>
      </c>
      <c r="AC85" s="27">
        <f t="shared" si="54"/>
        <v>0</v>
      </c>
      <c r="AD85" s="27">
        <f t="shared" si="54"/>
        <v>0</v>
      </c>
      <c r="AE85" s="27">
        <f t="shared" si="54"/>
        <v>0</v>
      </c>
      <c r="AF85" s="27">
        <f t="shared" si="54"/>
        <v>0</v>
      </c>
      <c r="AG85" s="27">
        <f t="shared" si="54"/>
        <v>0</v>
      </c>
    </row>
    <row r="86" spans="3:33" x14ac:dyDescent="0.4"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</row>
    <row r="87" spans="3:33" x14ac:dyDescent="0.4"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</row>
    <row r="88" spans="3:33" x14ac:dyDescent="0.4">
      <c r="C88" s="1" t="s">
        <v>105</v>
      </c>
      <c r="D88" s="27">
        <f>IF(D80=YEAR('Summary Inputs &amp; Assumptions'!$T$7),-D52,IF(D80=0,0,-(D52-C52)))</f>
        <v>0</v>
      </c>
      <c r="E88" s="27">
        <f>IF(E80=YEAR('Summary Inputs &amp; Assumptions'!$T$7),-E52,IF(E80=0,0,-(E52-D52)))</f>
        <v>-4964408</v>
      </c>
      <c r="F88" s="27">
        <f>IF(F80=YEAR('Summary Inputs &amp; Assumptions'!$T$7),-F52,IF(F80=0,0,-(F52-E52)))</f>
        <v>0</v>
      </c>
      <c r="G88" s="27">
        <f>IF(G80=YEAR('Summary Inputs &amp; Assumptions'!$T$7),-G52,IF(G80=0,0,-(G52-F52)))</f>
        <v>0</v>
      </c>
      <c r="H88" s="27">
        <f>IF(H80=YEAR('Summary Inputs &amp; Assumptions'!$T$7),-H52,IF(H80=0,0,-(H52-G52)))</f>
        <v>0</v>
      </c>
      <c r="I88" s="27">
        <f>IF(I80=YEAR('Summary Inputs &amp; Assumptions'!$T$7),-I52,IF(I80=0,0,-(I52-H52)))</f>
        <v>0</v>
      </c>
      <c r="J88" s="27">
        <f>IF(J80=YEAR('Summary Inputs &amp; Assumptions'!$T$7),-J52,IF(J80=0,0,-(J52-I52)))</f>
        <v>0</v>
      </c>
      <c r="K88" s="27">
        <f>IF(K80=YEAR('Summary Inputs &amp; Assumptions'!$T$7),-K52,IF(K80=0,0,-(K52-J52)))</f>
        <v>0</v>
      </c>
      <c r="L88" s="27">
        <f>IF(L80=YEAR('Summary Inputs &amp; Assumptions'!$T$7),-L52,IF(L80=0,0,-(L52-K52)))</f>
        <v>0</v>
      </c>
      <c r="M88" s="27">
        <f>IF(M80=YEAR('Summary Inputs &amp; Assumptions'!$T$7),-M52,IF(M80=0,0,-(M52-L52)))</f>
        <v>0</v>
      </c>
      <c r="N88" s="27">
        <f>IF(N80=YEAR('Summary Inputs &amp; Assumptions'!$T$7),-N52,IF(N80=0,0,-(N52-M52)))</f>
        <v>0</v>
      </c>
      <c r="O88" s="27">
        <f>IF(O80=YEAR('Summary Inputs &amp; Assumptions'!$T$7),-O52,IF(O80=0,0,-(O52-N52)))</f>
        <v>0</v>
      </c>
      <c r="P88" s="27">
        <f>IF(P80=YEAR('Summary Inputs &amp; Assumptions'!$T$7),-P52,IF(P80=0,0,-(P52-O52)))</f>
        <v>0</v>
      </c>
      <c r="Q88" s="27">
        <f>IF(Q80=YEAR('Summary Inputs &amp; Assumptions'!$T$7),-Q52,IF(Q80=0,0,-(Q52-P52)))</f>
        <v>0</v>
      </c>
      <c r="R88" s="27">
        <f>IF(R80=YEAR('Summary Inputs &amp; Assumptions'!$T$7),-R52,IF(R80=0,0,-(R52-Q52)))</f>
        <v>0</v>
      </c>
      <c r="S88" s="27">
        <f>IF(S80=YEAR('Summary Inputs &amp; Assumptions'!$T$7),-S52,IF(S80=0,0,-(S52-R52)))</f>
        <v>0</v>
      </c>
      <c r="T88" s="27">
        <f>IF(T80=YEAR('Summary Inputs &amp; Assumptions'!$T$7),-T52,IF(T80=0,0,-(T52-S52)))</f>
        <v>0</v>
      </c>
      <c r="U88" s="27">
        <f>IF(U80=YEAR('Summary Inputs &amp; Assumptions'!$T$7),-U52,IF(U80=0,0,-(U52-T52)))</f>
        <v>0</v>
      </c>
      <c r="V88" s="27">
        <f>IF(V80=YEAR('Summary Inputs &amp; Assumptions'!$T$7),-V52,IF(V80=0,0,-(V52-U52)))</f>
        <v>0</v>
      </c>
      <c r="W88" s="27">
        <f>IF(W80=YEAR('Summary Inputs &amp; Assumptions'!$T$7),-W52,IF(W80=0,0,-(W52-V52)))</f>
        <v>0</v>
      </c>
      <c r="X88" s="27">
        <f>IF(X80=YEAR('Summary Inputs &amp; Assumptions'!$T$7),-X52,IF(X80=0,0,-(X52-W52)))</f>
        <v>0</v>
      </c>
      <c r="Y88" s="27">
        <f>IF(Y80=YEAR('Summary Inputs &amp; Assumptions'!$T$7),-Y52,IF(Y80=0,0,-(Y52-X52)))</f>
        <v>0</v>
      </c>
      <c r="Z88" s="27">
        <f>IF(Z80=YEAR('Summary Inputs &amp; Assumptions'!$T$7),-Z52,IF(Z80=0,0,-(Z52-Y52)))</f>
        <v>0</v>
      </c>
      <c r="AA88" s="27">
        <f>IF(AA80=YEAR('Summary Inputs &amp; Assumptions'!$T$7),-AA52,IF(AA80=0,0,-(AA52-Z52)))</f>
        <v>0</v>
      </c>
      <c r="AB88" s="27">
        <f>IF(AB80=YEAR('Summary Inputs &amp; Assumptions'!$T$7),-AB52,IF(AB80=0,0,-(AB52-AA52)))</f>
        <v>0</v>
      </c>
      <c r="AC88" s="27">
        <f>IF(AC80=YEAR('Summary Inputs &amp; Assumptions'!$T$7),-AC52,IF(AC80=0,0,-(AC52-AB52)))</f>
        <v>0</v>
      </c>
      <c r="AD88" s="27">
        <f>IF(AD80=YEAR('Summary Inputs &amp; Assumptions'!$T$7),-AD52,IF(AD80=0,0,-(AD52-AC52)))</f>
        <v>0</v>
      </c>
      <c r="AE88" s="27">
        <f>IF(AE80=YEAR('Summary Inputs &amp; Assumptions'!$T$7),-AE52,IF(AE80=0,0,-(AE52-AD52)))</f>
        <v>0</v>
      </c>
      <c r="AF88" s="27">
        <f>IF(AF80=YEAR('Summary Inputs &amp; Assumptions'!$T$7),-AF52,IF(AF80=0,0,-(AF52-AE52)))</f>
        <v>0</v>
      </c>
      <c r="AG88" s="27">
        <f>IF(AG80=YEAR('Summary Inputs &amp; Assumptions'!$T$7),-AG52,IF(AG80=0,0,-(AG52-AF52)))</f>
        <v>0</v>
      </c>
    </row>
    <row r="89" spans="3:33" x14ac:dyDescent="0.4"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</row>
    <row r="90" spans="3:33" x14ac:dyDescent="0.4">
      <c r="C90" s="1" t="s">
        <v>101</v>
      </c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</row>
    <row r="91" spans="3:33" x14ac:dyDescent="0.4">
      <c r="C91" s="1" t="s">
        <v>102</v>
      </c>
      <c r="D91" s="27">
        <f>D61</f>
        <v>1605563.9994782147</v>
      </c>
      <c r="E91" s="27">
        <f>IF(E80=0,0,(E61-D61))</f>
        <v>-10961.252080883831</v>
      </c>
      <c r="F91" s="27">
        <f t="shared" ref="F91:AG91" si="55">IF(F80=0,0,(F61-E61))</f>
        <v>-85987.259963466786</v>
      </c>
      <c r="G91" s="27">
        <f t="shared" si="55"/>
        <v>-89489.190769640263</v>
      </c>
      <c r="H91" s="27">
        <f t="shared" si="55"/>
        <v>-93163.292812698055</v>
      </c>
      <c r="I91" s="27">
        <f t="shared" si="55"/>
        <v>-97018.07707839529</v>
      </c>
      <c r="J91" s="27">
        <f t="shared" si="55"/>
        <v>-101062.47826746223</v>
      </c>
      <c r="K91" s="27">
        <f t="shared" si="55"/>
        <v>-105305.87594431615</v>
      </c>
      <c r="L91" s="27">
        <f t="shared" si="55"/>
        <v>-109758.11674246844</v>
      </c>
      <c r="M91" s="27">
        <f t="shared" si="55"/>
        <v>-114429.53767944628</v>
      </c>
      <c r="N91" s="27">
        <f t="shared" si="55"/>
        <v>-119330.99063669285</v>
      </c>
      <c r="O91" s="27">
        <f t="shared" si="55"/>
        <v>-124473.86806267558</v>
      </c>
      <c r="P91" s="27">
        <f t="shared" si="55"/>
        <v>-129870.12996035058</v>
      </c>
      <c r="Q91" s="27">
        <f t="shared" si="55"/>
        <v>-135532.33222318278</v>
      </c>
      <c r="R91" s="27">
        <f t="shared" si="55"/>
        <v>-141473.65638713454</v>
      </c>
      <c r="S91" s="27">
        <f t="shared" si="55"/>
        <v>0</v>
      </c>
      <c r="T91" s="27">
        <f t="shared" si="55"/>
        <v>0</v>
      </c>
      <c r="U91" s="27">
        <f t="shared" si="55"/>
        <v>0</v>
      </c>
      <c r="V91" s="27">
        <f t="shared" si="55"/>
        <v>0</v>
      </c>
      <c r="W91" s="27">
        <f t="shared" si="55"/>
        <v>0</v>
      </c>
      <c r="X91" s="27">
        <f t="shared" si="55"/>
        <v>0</v>
      </c>
      <c r="Y91" s="27">
        <f t="shared" si="55"/>
        <v>0</v>
      </c>
      <c r="Z91" s="27">
        <f t="shared" si="55"/>
        <v>0</v>
      </c>
      <c r="AA91" s="27">
        <f t="shared" si="55"/>
        <v>0</v>
      </c>
      <c r="AB91" s="27">
        <f t="shared" si="55"/>
        <v>0</v>
      </c>
      <c r="AC91" s="27">
        <f t="shared" si="55"/>
        <v>0</v>
      </c>
      <c r="AD91" s="27">
        <f t="shared" si="55"/>
        <v>0</v>
      </c>
      <c r="AE91" s="27">
        <f t="shared" si="55"/>
        <v>0</v>
      </c>
      <c r="AF91" s="27">
        <f t="shared" si="55"/>
        <v>0</v>
      </c>
      <c r="AG91" s="27">
        <f t="shared" si="55"/>
        <v>0</v>
      </c>
    </row>
    <row r="92" spans="3:33" x14ac:dyDescent="0.4">
      <c r="C92" s="1" t="s">
        <v>103</v>
      </c>
      <c r="D92" s="27">
        <f>IF(D80=YEAR('Summary Inputs &amp; Assumptions'!$T$7),(D68+D67),IF(D80=0,0,(D68+D67)-(C67+C68)))</f>
        <v>2770002.0805217852</v>
      </c>
      <c r="E92" s="27">
        <f>IF(E80=YEAR('Summary Inputs &amp; Assumptions'!$T$7),(E68+E67),IF(E80=0,0,(E68+E67)-(D67+D68)))</f>
        <v>1363633.9200000004</v>
      </c>
      <c r="F92" s="27">
        <f>IF(F80=YEAR('Summary Inputs &amp; Assumptions'!$T$7),(F68+F67),IF(F80=0,0,(F68+F67)-(E67+E68)))</f>
        <v>0</v>
      </c>
      <c r="G92" s="27">
        <f>IF(G80=YEAR('Summary Inputs &amp; Assumptions'!$T$7),(G68+G67),IF(G80=0,0,(G68+G67)-(F67+F68)))</f>
        <v>0</v>
      </c>
      <c r="H92" s="27">
        <f>IF(H80=YEAR('Summary Inputs &amp; Assumptions'!$T$7),(H68+H67),IF(H80=0,0,(H68+H67)-(G67+G68)))</f>
        <v>0</v>
      </c>
      <c r="I92" s="27">
        <f>IF(I80=YEAR('Summary Inputs &amp; Assumptions'!$T$7),(I68+I67),IF(I80=0,0,(I68+I67)-(H67+H68)))</f>
        <v>0</v>
      </c>
      <c r="J92" s="27">
        <f>IF(J80=YEAR('Summary Inputs &amp; Assumptions'!$T$7),(J68+J67),IF(J80=0,0,(J68+J67)-(I67+I68)))</f>
        <v>0</v>
      </c>
      <c r="K92" s="27">
        <f>IF(K80=YEAR('Summary Inputs &amp; Assumptions'!$T$7),(K68+K67),IF(K80=0,0,(K68+K67)-(J67+J68)))</f>
        <v>0</v>
      </c>
      <c r="L92" s="27">
        <f>IF(L80=YEAR('Summary Inputs &amp; Assumptions'!$T$7),(L68+L67),IF(L80=0,0,(L68+L67)-(K67+K68)))</f>
        <v>0</v>
      </c>
      <c r="M92" s="27">
        <f>IF(M80=YEAR('Summary Inputs &amp; Assumptions'!$T$7),(M68+M67),IF(M80=0,0,(M68+M67)-(L67+L68)))</f>
        <v>0</v>
      </c>
      <c r="N92" s="27">
        <f>IF(N80=YEAR('Summary Inputs &amp; Assumptions'!$T$7),(N68+N67),IF(N80=0,0,(N68+N67)-(M67+M68)))</f>
        <v>0</v>
      </c>
      <c r="O92" s="27">
        <f>IF(O80=YEAR('Summary Inputs &amp; Assumptions'!$T$7),(O68+O67),IF(O80=0,0,(O68+O67)-(N67+N68)))</f>
        <v>0</v>
      </c>
      <c r="P92" s="27">
        <f>IF(P80=YEAR('Summary Inputs &amp; Assumptions'!$T$7),(P68+P67),IF(P80=0,0,(P68+P67)-(O67+O68)))</f>
        <v>0</v>
      </c>
      <c r="Q92" s="27">
        <f>IF(Q80=YEAR('Summary Inputs &amp; Assumptions'!$T$7),(Q68+Q67),IF(Q80=0,0,(Q68+Q67)-(P67+P68)))</f>
        <v>0</v>
      </c>
      <c r="R92" s="27">
        <f>IF(R80=YEAR('Summary Inputs &amp; Assumptions'!$T$7),(R68+R67),IF(R80=0,0,(R68+R67)-(Q67+Q68)))</f>
        <v>0</v>
      </c>
      <c r="S92" s="27">
        <f>IF(S80=YEAR('Summary Inputs &amp; Assumptions'!$T$7),(S68+S67),IF(S80=0,0,(S68+S67)-(R67+R68)))</f>
        <v>0</v>
      </c>
      <c r="T92" s="27">
        <f>IF(T80=YEAR('Summary Inputs &amp; Assumptions'!$T$7),(T68+T67),IF(T80=0,0,(T68+T67)-(S67+S68)))</f>
        <v>0</v>
      </c>
      <c r="U92" s="27">
        <f>IF(U80=YEAR('Summary Inputs &amp; Assumptions'!$T$7),(U68+U67),IF(U80=0,0,(U68+U67)-(T67+T68)))</f>
        <v>0</v>
      </c>
      <c r="V92" s="27">
        <f>IF(V80=YEAR('Summary Inputs &amp; Assumptions'!$T$7),(V68+V67),IF(V80=0,0,(V68+V67)-(U67+U68)))</f>
        <v>0</v>
      </c>
      <c r="W92" s="27">
        <f>IF(W80=YEAR('Summary Inputs &amp; Assumptions'!$T$7),(W68+W67),IF(W80=0,0,(W68+W67)-(V67+V68)))</f>
        <v>0</v>
      </c>
      <c r="X92" s="27">
        <f>IF(X80=YEAR('Summary Inputs &amp; Assumptions'!$T$7),(X68+X67),IF(X80=0,0,(X68+X67)-(W67+W68)))</f>
        <v>0</v>
      </c>
      <c r="Y92" s="27">
        <f>IF(Y80=YEAR('Summary Inputs &amp; Assumptions'!$T$7),(Y68+Y67),IF(Y80=0,0,(Y68+Y67)-(X67+X68)))</f>
        <v>0</v>
      </c>
      <c r="Z92" s="27">
        <f>IF(Z80=YEAR('Summary Inputs &amp; Assumptions'!$T$7),(Z68+Z67),IF(Z80=0,0,(Z68+Z67)-(Y67+Y68)))</f>
        <v>0</v>
      </c>
      <c r="AA92" s="27">
        <f>IF(AA80=YEAR('Summary Inputs &amp; Assumptions'!$T$7),(AA68+AA67),IF(AA80=0,0,(AA68+AA67)-(Z67+Z68)))</f>
        <v>0</v>
      </c>
      <c r="AB92" s="27">
        <f>IF(AB80=YEAR('Summary Inputs &amp; Assumptions'!$T$7),(AB68+AB67),IF(AB80=0,0,(AB68+AB67)-(AA67+AA68)))</f>
        <v>0</v>
      </c>
      <c r="AC92" s="27">
        <f>IF(AC80=YEAR('Summary Inputs &amp; Assumptions'!$T$7),(AC68+AC67),IF(AC80=0,0,(AC68+AC67)-(AB67+AB68)))</f>
        <v>0</v>
      </c>
      <c r="AD92" s="27">
        <f>IF(AD80=YEAR('Summary Inputs &amp; Assumptions'!$T$7),(AD68+AD67),IF(AD80=0,0,(AD68+AD67)-(AC67+AC68)))</f>
        <v>0</v>
      </c>
      <c r="AE92" s="27">
        <f>IF(AE80=YEAR('Summary Inputs &amp; Assumptions'!$T$7),(AE68+AE67),IF(AE80=0,0,(AE68+AE67)-(AD67+AD68)))</f>
        <v>0</v>
      </c>
      <c r="AF92" s="27">
        <f>IF(AF80=YEAR('Summary Inputs &amp; Assumptions'!$T$7),(AF68+AF67),IF(AF80=0,0,(AF68+AF67)-(AE67+AE68)))</f>
        <v>0</v>
      </c>
      <c r="AG92" s="27">
        <f>IF(AG80=YEAR('Summary Inputs &amp; Assumptions'!$T$7),(AG68+AG67),IF(AG80=0,0,(AG68+AG67)-(AF67+AF68)))</f>
        <v>0</v>
      </c>
    </row>
    <row r="93" spans="3:33" x14ac:dyDescent="0.4">
      <c r="C93" s="1" t="s">
        <v>107</v>
      </c>
      <c r="D93" s="27">
        <f>SUM(D91:D92)</f>
        <v>4375566.08</v>
      </c>
      <c r="E93" s="27">
        <f t="shared" ref="E93:R93" si="56">SUM(E91:E92)</f>
        <v>1352672.6679191166</v>
      </c>
      <c r="F93" s="27">
        <f t="shared" si="56"/>
        <v>-85987.259963466786</v>
      </c>
      <c r="G93" s="27">
        <f t="shared" si="56"/>
        <v>-89489.190769640263</v>
      </c>
      <c r="H93" s="27">
        <f t="shared" si="56"/>
        <v>-93163.292812698055</v>
      </c>
      <c r="I93" s="27">
        <f t="shared" si="56"/>
        <v>-97018.07707839529</v>
      </c>
      <c r="J93" s="27">
        <f t="shared" si="56"/>
        <v>-101062.47826746223</v>
      </c>
      <c r="K93" s="27">
        <f t="shared" si="56"/>
        <v>-105305.87594431615</v>
      </c>
      <c r="L93" s="27">
        <f t="shared" si="56"/>
        <v>-109758.11674246844</v>
      </c>
      <c r="M93" s="27">
        <f t="shared" si="56"/>
        <v>-114429.53767944628</v>
      </c>
      <c r="N93" s="27">
        <f t="shared" si="56"/>
        <v>-119330.99063669285</v>
      </c>
      <c r="O93" s="27">
        <f t="shared" si="56"/>
        <v>-124473.86806267558</v>
      </c>
      <c r="P93" s="27">
        <f t="shared" si="56"/>
        <v>-129870.12996035058</v>
      </c>
      <c r="Q93" s="27">
        <f t="shared" si="56"/>
        <v>-135532.33222318278</v>
      </c>
      <c r="R93" s="27">
        <f t="shared" si="56"/>
        <v>-141473.65638713454</v>
      </c>
      <c r="S93" s="27">
        <f t="shared" ref="S93:AG93" si="57">SUM(S91:S92)</f>
        <v>0</v>
      </c>
      <c r="T93" s="27">
        <f t="shared" si="57"/>
        <v>0</v>
      </c>
      <c r="U93" s="27">
        <f t="shared" si="57"/>
        <v>0</v>
      </c>
      <c r="V93" s="27">
        <f t="shared" si="57"/>
        <v>0</v>
      </c>
      <c r="W93" s="27">
        <f t="shared" si="57"/>
        <v>0</v>
      </c>
      <c r="X93" s="27">
        <f t="shared" si="57"/>
        <v>0</v>
      </c>
      <c r="Y93" s="27">
        <f t="shared" si="57"/>
        <v>0</v>
      </c>
      <c r="Z93" s="27">
        <f t="shared" si="57"/>
        <v>0</v>
      </c>
      <c r="AA93" s="27">
        <f t="shared" si="57"/>
        <v>0</v>
      </c>
      <c r="AB93" s="27">
        <f t="shared" si="57"/>
        <v>0</v>
      </c>
      <c r="AC93" s="27">
        <f t="shared" si="57"/>
        <v>0</v>
      </c>
      <c r="AD93" s="27">
        <f t="shared" si="57"/>
        <v>0</v>
      </c>
      <c r="AE93" s="27">
        <f t="shared" si="57"/>
        <v>0</v>
      </c>
      <c r="AF93" s="27">
        <f t="shared" si="57"/>
        <v>0</v>
      </c>
      <c r="AG93" s="27">
        <f t="shared" si="57"/>
        <v>0</v>
      </c>
    </row>
    <row r="94" spans="3:33" x14ac:dyDescent="0.4"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</row>
    <row r="95" spans="3:33" x14ac:dyDescent="0.4"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</row>
    <row r="96" spans="3:33" x14ac:dyDescent="0.4">
      <c r="C96" s="1" t="s">
        <v>104</v>
      </c>
      <c r="D96" s="27">
        <f>D93+D88+D85</f>
        <v>4592703.4580561025</v>
      </c>
      <c r="E96" s="27">
        <f t="shared" ref="E96:R96" si="58">E93+E88+E85</f>
        <v>-3283429.0987110171</v>
      </c>
      <c r="F96" s="27">
        <f t="shared" si="58"/>
        <v>236823.46212022647</v>
      </c>
      <c r="G96" s="27">
        <f t="shared" si="58"/>
        <v>227646.53553243494</v>
      </c>
      <c r="H96" s="27">
        <f t="shared" si="58"/>
        <v>218109.19828633568</v>
      </c>
      <c r="I96" s="27">
        <f t="shared" si="58"/>
        <v>208193.75616943924</v>
      </c>
      <c r="J96" s="27">
        <f t="shared" si="58"/>
        <v>197881.6417122205</v>
      </c>
      <c r="K96" s="27">
        <f t="shared" si="58"/>
        <v>187153.37073955539</v>
      </c>
      <c r="L96" s="27">
        <f t="shared" si="58"/>
        <v>175988.49675406137</v>
      </c>
      <c r="M96" s="27">
        <f t="shared" si="58"/>
        <v>164365.56304302264</v>
      </c>
      <c r="N96" s="27">
        <f t="shared" si="58"/>
        <v>152262.05239516351</v>
      </c>
      <c r="O96" s="27">
        <f t="shared" si="58"/>
        <v>139654.3343078589</v>
      </c>
      <c r="P96" s="27">
        <f t="shared" si="58"/>
        <v>126517.60955938842</v>
      </c>
      <c r="Q96" s="27">
        <f t="shared" si="58"/>
        <v>112825.85201458595</v>
      </c>
      <c r="R96" s="27">
        <f t="shared" si="58"/>
        <v>98551.747525645158</v>
      </c>
      <c r="S96" s="27">
        <f t="shared" ref="S96:AG96" si="59">S93+S88+S85</f>
        <v>0</v>
      </c>
      <c r="T96" s="27">
        <f t="shared" si="59"/>
        <v>0</v>
      </c>
      <c r="U96" s="27">
        <f t="shared" si="59"/>
        <v>0</v>
      </c>
      <c r="V96" s="27">
        <f t="shared" si="59"/>
        <v>0</v>
      </c>
      <c r="W96" s="27">
        <f t="shared" si="59"/>
        <v>0</v>
      </c>
      <c r="X96" s="27">
        <f t="shared" si="59"/>
        <v>0</v>
      </c>
      <c r="Y96" s="27">
        <f t="shared" si="59"/>
        <v>0</v>
      </c>
      <c r="Z96" s="27">
        <f t="shared" si="59"/>
        <v>0</v>
      </c>
      <c r="AA96" s="27">
        <f t="shared" si="59"/>
        <v>0</v>
      </c>
      <c r="AB96" s="27">
        <f t="shared" si="59"/>
        <v>0</v>
      </c>
      <c r="AC96" s="27">
        <f t="shared" si="59"/>
        <v>0</v>
      </c>
      <c r="AD96" s="27">
        <f t="shared" si="59"/>
        <v>0</v>
      </c>
      <c r="AE96" s="27">
        <f t="shared" si="59"/>
        <v>0</v>
      </c>
      <c r="AF96" s="27">
        <f t="shared" si="59"/>
        <v>0</v>
      </c>
      <c r="AG96" s="27">
        <f t="shared" si="59"/>
        <v>0</v>
      </c>
    </row>
    <row r="97" spans="3:33" x14ac:dyDescent="0.4">
      <c r="C97" s="1" t="s">
        <v>108</v>
      </c>
      <c r="D97" s="27"/>
      <c r="E97" s="27">
        <f>IF(E80=0,0,D98)</f>
        <v>4592703.4580561025</v>
      </c>
      <c r="F97" s="27">
        <f t="shared" ref="F97:AG97" si="60">IF(F80=0,0,E98)</f>
        <v>1309274.3593450855</v>
      </c>
      <c r="G97" s="27">
        <f t="shared" si="60"/>
        <v>1546097.821465312</v>
      </c>
      <c r="H97" s="27">
        <f t="shared" si="60"/>
        <v>1773744.356997747</v>
      </c>
      <c r="I97" s="27">
        <f t="shared" si="60"/>
        <v>1991853.5552840827</v>
      </c>
      <c r="J97" s="27">
        <f t="shared" si="60"/>
        <v>2200047.3114535217</v>
      </c>
      <c r="K97" s="27">
        <f t="shared" si="60"/>
        <v>2397928.9531657421</v>
      </c>
      <c r="L97" s="27">
        <f t="shared" si="60"/>
        <v>2585082.3239052976</v>
      </c>
      <c r="M97" s="27">
        <f t="shared" si="60"/>
        <v>2761070.820659359</v>
      </c>
      <c r="N97" s="27">
        <f t="shared" si="60"/>
        <v>2925436.3837023815</v>
      </c>
      <c r="O97" s="27">
        <f t="shared" si="60"/>
        <v>3077698.4360975451</v>
      </c>
      <c r="P97" s="27">
        <f t="shared" si="60"/>
        <v>3217352.7704054038</v>
      </c>
      <c r="Q97" s="27">
        <f t="shared" si="60"/>
        <v>3343870.3799647922</v>
      </c>
      <c r="R97" s="27">
        <f t="shared" si="60"/>
        <v>3456696.231979378</v>
      </c>
      <c r="S97" s="27">
        <f t="shared" si="60"/>
        <v>0</v>
      </c>
      <c r="T97" s="27">
        <f t="shared" si="60"/>
        <v>0</v>
      </c>
      <c r="U97" s="27">
        <f t="shared" si="60"/>
        <v>0</v>
      </c>
      <c r="V97" s="27">
        <f t="shared" si="60"/>
        <v>0</v>
      </c>
      <c r="W97" s="27">
        <f t="shared" si="60"/>
        <v>0</v>
      </c>
      <c r="X97" s="27">
        <f t="shared" si="60"/>
        <v>0</v>
      </c>
      <c r="Y97" s="27">
        <f t="shared" si="60"/>
        <v>0</v>
      </c>
      <c r="Z97" s="27">
        <f t="shared" si="60"/>
        <v>0</v>
      </c>
      <c r="AA97" s="27">
        <f t="shared" si="60"/>
        <v>0</v>
      </c>
      <c r="AB97" s="27">
        <f t="shared" si="60"/>
        <v>0</v>
      </c>
      <c r="AC97" s="27">
        <f t="shared" si="60"/>
        <v>0</v>
      </c>
      <c r="AD97" s="27">
        <f t="shared" si="60"/>
        <v>0</v>
      </c>
      <c r="AE97" s="27">
        <f t="shared" si="60"/>
        <v>0</v>
      </c>
      <c r="AF97" s="27">
        <f t="shared" si="60"/>
        <v>0</v>
      </c>
      <c r="AG97" s="27">
        <f t="shared" si="60"/>
        <v>0</v>
      </c>
    </row>
    <row r="98" spans="3:33" ht="11.7" thickBot="1" x14ac:dyDescent="0.45">
      <c r="C98" s="1" t="s">
        <v>109</v>
      </c>
      <c r="D98" s="44">
        <f>SUM(D96:D97)</f>
        <v>4592703.4580561025</v>
      </c>
      <c r="E98" s="44">
        <f t="shared" ref="E98:R98" si="61">SUM(E96:E97)</f>
        <v>1309274.3593450855</v>
      </c>
      <c r="F98" s="44">
        <f t="shared" si="61"/>
        <v>1546097.821465312</v>
      </c>
      <c r="G98" s="44">
        <f t="shared" si="61"/>
        <v>1773744.356997747</v>
      </c>
      <c r="H98" s="44">
        <f t="shared" si="61"/>
        <v>1991853.5552840827</v>
      </c>
      <c r="I98" s="44">
        <f t="shared" si="61"/>
        <v>2200047.3114535217</v>
      </c>
      <c r="J98" s="44">
        <f t="shared" si="61"/>
        <v>2397928.9531657421</v>
      </c>
      <c r="K98" s="44">
        <f t="shared" si="61"/>
        <v>2585082.3239052976</v>
      </c>
      <c r="L98" s="44">
        <f t="shared" si="61"/>
        <v>2761070.820659359</v>
      </c>
      <c r="M98" s="44">
        <f t="shared" si="61"/>
        <v>2925436.3837023815</v>
      </c>
      <c r="N98" s="44">
        <f t="shared" si="61"/>
        <v>3077698.4360975451</v>
      </c>
      <c r="O98" s="44">
        <f t="shared" si="61"/>
        <v>3217352.7704054038</v>
      </c>
      <c r="P98" s="44">
        <f t="shared" si="61"/>
        <v>3343870.3799647922</v>
      </c>
      <c r="Q98" s="44">
        <f t="shared" si="61"/>
        <v>3456696.231979378</v>
      </c>
      <c r="R98" s="44">
        <f t="shared" si="61"/>
        <v>3555247.979505023</v>
      </c>
      <c r="S98" s="44">
        <f t="shared" ref="S98:AG98" si="62">SUM(S96:S97)</f>
        <v>0</v>
      </c>
      <c r="T98" s="44">
        <f t="shared" si="62"/>
        <v>0</v>
      </c>
      <c r="U98" s="44">
        <f t="shared" si="62"/>
        <v>0</v>
      </c>
      <c r="V98" s="44">
        <f t="shared" si="62"/>
        <v>0</v>
      </c>
      <c r="W98" s="44">
        <f t="shared" si="62"/>
        <v>0</v>
      </c>
      <c r="X98" s="44">
        <f t="shared" si="62"/>
        <v>0</v>
      </c>
      <c r="Y98" s="44">
        <f t="shared" si="62"/>
        <v>0</v>
      </c>
      <c r="Z98" s="44">
        <f t="shared" si="62"/>
        <v>0</v>
      </c>
      <c r="AA98" s="44">
        <f t="shared" si="62"/>
        <v>0</v>
      </c>
      <c r="AB98" s="44">
        <f t="shared" si="62"/>
        <v>0</v>
      </c>
      <c r="AC98" s="44">
        <f t="shared" si="62"/>
        <v>0</v>
      </c>
      <c r="AD98" s="44">
        <f t="shared" si="62"/>
        <v>0</v>
      </c>
      <c r="AE98" s="44">
        <f t="shared" si="62"/>
        <v>0</v>
      </c>
      <c r="AF98" s="44">
        <f t="shared" si="62"/>
        <v>0</v>
      </c>
      <c r="AG98" s="44">
        <f t="shared" si="62"/>
        <v>0</v>
      </c>
    </row>
    <row r="99" spans="3:33" ht="11.7" thickTop="1" x14ac:dyDescent="0.4"/>
  </sheetData>
  <phoneticPr fontId="3" type="noConversion"/>
  <pageMargins left="0.7" right="0.7" top="0.75" bottom="0.75" header="0.3" footer="0.3"/>
  <pageSetup scale="5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0C3C-0504-4EE2-9E51-5F799118B70C}">
  <sheetPr>
    <tabColor theme="1"/>
  </sheetPr>
  <dimension ref="A1:O45"/>
  <sheetViews>
    <sheetView showGridLines="0" zoomScale="90" zoomScaleNormal="90" workbookViewId="0">
      <selection activeCell="B6" sqref="B6"/>
    </sheetView>
  </sheetViews>
  <sheetFormatPr defaultColWidth="9.15625" defaultRowHeight="11.4" outlineLevelRow="1" x14ac:dyDescent="0.4"/>
  <cols>
    <col min="1" max="1" width="7.68359375" style="1" customWidth="1"/>
    <col min="2" max="2" width="18.41796875" style="18" customWidth="1"/>
    <col min="3" max="3" width="16.26171875" style="1" customWidth="1"/>
    <col min="4" max="4" width="15.41796875" style="19" customWidth="1"/>
    <col min="5" max="5" width="14" style="1" customWidth="1"/>
    <col min="6" max="6" width="13.15625" style="1" customWidth="1"/>
    <col min="7" max="7" width="11" style="1" bestFit="1" customWidth="1"/>
    <col min="8" max="8" width="15.41796875" style="1" customWidth="1"/>
    <col min="9" max="9" width="16" style="4" customWidth="1"/>
    <col min="10" max="10" width="11" style="1" customWidth="1"/>
    <col min="11" max="11" width="16.578125" style="1" customWidth="1"/>
    <col min="12" max="12" width="13.578125" style="1" customWidth="1"/>
    <col min="13" max="13" width="9.15625" style="1"/>
    <col min="14" max="14" width="8.578125" style="1" customWidth="1"/>
    <col min="15" max="15" width="13.83984375" style="1" customWidth="1"/>
    <col min="16" max="16" width="12.68359375" style="1" customWidth="1"/>
    <col min="17" max="17" width="12.578125" style="1" customWidth="1"/>
    <col min="18" max="18" width="15.41796875" style="1" customWidth="1"/>
    <col min="19" max="16384" width="9.15625" style="1"/>
  </cols>
  <sheetData>
    <row r="1" spans="1:13" x14ac:dyDescent="0.4">
      <c r="B1" s="34"/>
      <c r="D1" s="35"/>
      <c r="I1" s="5"/>
    </row>
    <row r="2" spans="1:13" ht="12.3" x14ac:dyDescent="0.4">
      <c r="B2" s="34" t="s">
        <v>96</v>
      </c>
      <c r="C2" s="103">
        <f>NPV($C$4,Debt!G8:G42)</f>
        <v>1605563.9994782147</v>
      </c>
      <c r="D2" s="35"/>
      <c r="E2" s="51" t="s">
        <v>18</v>
      </c>
      <c r="F2" s="51" t="s">
        <v>19</v>
      </c>
      <c r="I2" s="5"/>
    </row>
    <row r="3" spans="1:13" x14ac:dyDescent="0.4">
      <c r="B3" s="36" t="s">
        <v>21</v>
      </c>
      <c r="C3" s="57">
        <f>Amortization_period</f>
        <v>15</v>
      </c>
      <c r="D3" s="37"/>
      <c r="E3" s="56">
        <f>'Summary Inputs &amp; Assumptions'!Q39</f>
        <v>1.5</v>
      </c>
      <c r="F3" s="56">
        <f>'Summary Inputs &amp; Assumptions'!Q40</f>
        <v>1</v>
      </c>
      <c r="I3" s="9"/>
    </row>
    <row r="4" spans="1:13" x14ac:dyDescent="0.4">
      <c r="B4" s="36" t="s">
        <v>22</v>
      </c>
      <c r="C4" s="53">
        <f>Interest_Rate</f>
        <v>0.05</v>
      </c>
      <c r="D4" s="1"/>
      <c r="E4" s="56"/>
      <c r="F4" s="56"/>
      <c r="I4" s="9"/>
    </row>
    <row r="5" spans="1:13" x14ac:dyDescent="0.4">
      <c r="B5" s="36"/>
      <c r="C5" s="9"/>
      <c r="D5" s="37"/>
      <c r="E5" s="38"/>
      <c r="F5" s="38"/>
      <c r="I5" s="9"/>
    </row>
    <row r="6" spans="1:13" ht="12.3" x14ac:dyDescent="0.4">
      <c r="B6" s="106"/>
      <c r="C6" s="106"/>
      <c r="D6" s="106"/>
      <c r="E6" s="106" t="s">
        <v>55</v>
      </c>
      <c r="F6" s="106"/>
      <c r="G6" s="106"/>
      <c r="H6" s="106" t="s">
        <v>59</v>
      </c>
      <c r="I6" s="106"/>
      <c r="J6" s="106"/>
      <c r="K6" s="106"/>
    </row>
    <row r="7" spans="1:13" s="20" customFormat="1" ht="12.6" thickBot="1" x14ac:dyDescent="0.6">
      <c r="B7" s="145" t="s">
        <v>40</v>
      </c>
      <c r="C7" s="145" t="str">
        <f>'Financial Statements'!C35</f>
        <v>EBITDA P50</v>
      </c>
      <c r="D7" s="145" t="str">
        <f>'Financial Statements'!C37</f>
        <v>EBITDA P99</v>
      </c>
      <c r="E7" s="145" t="s">
        <v>43</v>
      </c>
      <c r="F7" s="145" t="s">
        <v>56</v>
      </c>
      <c r="G7" s="145" t="s">
        <v>55</v>
      </c>
      <c r="H7" s="145" t="s">
        <v>94</v>
      </c>
      <c r="I7" s="145" t="s">
        <v>95</v>
      </c>
      <c r="J7" s="145" t="s">
        <v>62</v>
      </c>
      <c r="K7" s="145" t="s">
        <v>58</v>
      </c>
    </row>
    <row r="8" spans="1:13" x14ac:dyDescent="0.4">
      <c r="A8" s="1">
        <v>1</v>
      </c>
      <c r="B8" s="34">
        <f>YEAR('Summary Inputs &amp; Assumptions'!T7)</f>
        <v>2022</v>
      </c>
      <c r="C8" s="141" cm="1">
        <f t="array" ref="C8:C37">IF(B8="",0,TRANSPOSE('Financial Statements'!$D$35:$AG$35))</f>
        <v>136859.17808219176</v>
      </c>
      <c r="D8" s="141" cm="1">
        <f t="array" ref="D8:D37">TRANSPOSE('Financial Statements'!$D$37:$AG$37)</f>
        <v>115075.3315068493</v>
      </c>
      <c r="E8" s="142">
        <f>IF(B8="",0,C8/$E$3)</f>
        <v>91239.452054794514</v>
      </c>
      <c r="F8" s="143">
        <f>IF(B8="",0,D8/$F$3)</f>
        <v>115075.3315068493</v>
      </c>
      <c r="G8" s="13">
        <f>IF(A8&lt;=$C$3,MIN(E8,F8),0)</f>
        <v>91239.452054794514</v>
      </c>
      <c r="H8" s="142">
        <f>C2</f>
        <v>1605563.9994782147</v>
      </c>
      <c r="I8" s="143">
        <f>H8-K8</f>
        <v>1594602.7473973308</v>
      </c>
      <c r="J8" s="13">
        <f>H8*$C$4</f>
        <v>80278.199973910741</v>
      </c>
      <c r="K8" s="13">
        <f>G8-J8</f>
        <v>10961.252080883773</v>
      </c>
      <c r="L8" s="20"/>
    </row>
    <row r="9" spans="1:13" x14ac:dyDescent="0.4">
      <c r="A9" s="1">
        <v>2</v>
      </c>
      <c r="B9" s="34">
        <f>IF(A9&lt;='Summary Inputs &amp; Assumptions'!$Q$41,Debt!B8+1,"")</f>
        <v>2023</v>
      </c>
      <c r="C9" s="141">
        <v>248576.0959999999</v>
      </c>
      <c r="D9" s="141">
        <v>208939.84255999979</v>
      </c>
      <c r="E9" s="142">
        <f t="shared" ref="E9:E42" si="0">IF(B9="",0,C9/$E$3)</f>
        <v>165717.39733333327</v>
      </c>
      <c r="F9" s="143">
        <f t="shared" ref="F9:F42" si="1">IF(B9="",0,D9/$F$3)</f>
        <v>208939.84255999979</v>
      </c>
      <c r="G9" s="13">
        <f t="shared" ref="G9:G44" si="2">IF(A9&lt;=$C$3,MIN(E9,F9),0)</f>
        <v>165717.39733333327</v>
      </c>
      <c r="H9" s="142">
        <f>I8</f>
        <v>1594602.7473973308</v>
      </c>
      <c r="I9" s="143">
        <f>H9-MIN(K9,I8)</f>
        <v>1508615.487433864</v>
      </c>
      <c r="J9" s="13">
        <f t="shared" ref="J9:J43" si="3">H9*$C$4</f>
        <v>79730.137369866541</v>
      </c>
      <c r="K9" s="13">
        <f t="shared" ref="K9:K43" si="4">G9-J9</f>
        <v>85987.259963466728</v>
      </c>
      <c r="L9" s="20"/>
    </row>
    <row r="10" spans="1:13" x14ac:dyDescent="0.4">
      <c r="A10" s="1">
        <v>3</v>
      </c>
      <c r="B10" s="34">
        <f>IF(A10&lt;='Summary Inputs &amp; Assumptions'!$Q$41,Debt!B9+1,"")</f>
        <v>2024</v>
      </c>
      <c r="C10" s="141">
        <v>247379.94771200005</v>
      </c>
      <c r="D10" s="141">
        <v>207862.60303232004</v>
      </c>
      <c r="E10" s="142">
        <f t="shared" si="0"/>
        <v>164919.96514133338</v>
      </c>
      <c r="F10" s="143">
        <f t="shared" si="1"/>
        <v>207862.60303232004</v>
      </c>
      <c r="G10" s="13">
        <f t="shared" si="2"/>
        <v>164919.96514133338</v>
      </c>
      <c r="H10" s="142">
        <f t="shared" ref="H10:H42" si="5">I9</f>
        <v>1508615.487433864</v>
      </c>
      <c r="I10" s="143">
        <f t="shared" ref="I10:I22" si="6">H10-MIN(K10,I9)</f>
        <v>1419126.2966642238</v>
      </c>
      <c r="J10" s="13">
        <f t="shared" si="3"/>
        <v>75430.774371693202</v>
      </c>
      <c r="K10" s="13">
        <f t="shared" si="4"/>
        <v>89489.190769640176</v>
      </c>
      <c r="L10" s="20"/>
    </row>
    <row r="11" spans="1:13" x14ac:dyDescent="0.4">
      <c r="A11" s="1">
        <v>4</v>
      </c>
      <c r="B11" s="34">
        <f>IF(A11&lt;='Summary Inputs &amp; Assumptions'!$Q$41,Debt!B10+1,"")</f>
        <v>2025</v>
      </c>
      <c r="C11" s="141">
        <v>246179.41146886398</v>
      </c>
      <c r="D11" s="141">
        <v>206780.61882322302</v>
      </c>
      <c r="E11" s="142">
        <f t="shared" si="0"/>
        <v>164119.60764590933</v>
      </c>
      <c r="F11" s="143">
        <f t="shared" si="1"/>
        <v>206780.61882322302</v>
      </c>
      <c r="G11" s="13">
        <f t="shared" si="2"/>
        <v>164119.60764590933</v>
      </c>
      <c r="H11" s="142">
        <f t="shared" si="5"/>
        <v>1419126.2966642238</v>
      </c>
      <c r="I11" s="143">
        <f t="shared" si="6"/>
        <v>1325963.0038515257</v>
      </c>
      <c r="J11" s="13">
        <f t="shared" si="3"/>
        <v>70956.314833211189</v>
      </c>
      <c r="K11" s="13">
        <f t="shared" si="4"/>
        <v>93163.292812698142</v>
      </c>
      <c r="L11" s="20"/>
    </row>
    <row r="12" spans="1:13" x14ac:dyDescent="0.4">
      <c r="A12" s="1">
        <v>5</v>
      </c>
      <c r="B12" s="34">
        <f>IF(A12&lt;='Summary Inputs &amp; Assumptions'!$Q$41,Debt!B11+1,"")</f>
        <v>2026</v>
      </c>
      <c r="C12" s="141">
        <v>244974.34090645742</v>
      </c>
      <c r="D12" s="141">
        <v>205693.74463875339</v>
      </c>
      <c r="E12" s="142">
        <f t="shared" si="0"/>
        <v>163316.22727097161</v>
      </c>
      <c r="F12" s="143">
        <f t="shared" si="1"/>
        <v>205693.74463875339</v>
      </c>
      <c r="G12" s="13">
        <f t="shared" si="2"/>
        <v>163316.22727097161</v>
      </c>
      <c r="H12" s="142">
        <f t="shared" si="5"/>
        <v>1325963.0038515257</v>
      </c>
      <c r="I12" s="143">
        <f t="shared" si="6"/>
        <v>1228944.9267731304</v>
      </c>
      <c r="J12" s="13">
        <f t="shared" si="3"/>
        <v>66298.150192576286</v>
      </c>
      <c r="K12" s="13">
        <f t="shared" si="4"/>
        <v>97018.077078395319</v>
      </c>
      <c r="L12" s="20"/>
    </row>
    <row r="13" spans="1:13" x14ac:dyDescent="0.4">
      <c r="A13" s="1">
        <v>6</v>
      </c>
      <c r="B13" s="34">
        <f>IF(A13&lt;='Summary Inputs &amp; Assumptions'!$Q$41,Debt!B12+1,"")</f>
        <v>2027</v>
      </c>
      <c r="C13" s="141">
        <v>243764.586909178</v>
      </c>
      <c r="D13" s="141">
        <v>204601.83243027708</v>
      </c>
      <c r="E13" s="142">
        <f t="shared" si="0"/>
        <v>162509.72460611866</v>
      </c>
      <c r="F13" s="143">
        <f t="shared" si="1"/>
        <v>204601.83243027708</v>
      </c>
      <c r="G13" s="13">
        <f t="shared" si="2"/>
        <v>162509.72460611866</v>
      </c>
      <c r="H13" s="142">
        <f t="shared" si="5"/>
        <v>1228944.9267731304</v>
      </c>
      <c r="I13" s="143">
        <f t="shared" si="6"/>
        <v>1127882.4485056682</v>
      </c>
      <c r="J13" s="13">
        <f t="shared" si="3"/>
        <v>61447.246338656521</v>
      </c>
      <c r="K13" s="13">
        <f t="shared" si="4"/>
        <v>101062.47826746214</v>
      </c>
      <c r="L13" s="20"/>
    </row>
    <row r="14" spans="1:13" x14ac:dyDescent="0.4">
      <c r="A14" s="1">
        <v>7</v>
      </c>
      <c r="B14" s="34">
        <f>IF(A14&lt;='Summary Inputs &amp; Assumptions'!$Q$41,Debt!B13+1,"")</f>
        <v>2028</v>
      </c>
      <c r="C14" s="141">
        <v>242549.99755439931</v>
      </c>
      <c r="D14" s="141">
        <v>203504.73133893509</v>
      </c>
      <c r="E14" s="142">
        <f t="shared" si="0"/>
        <v>161699.99836959955</v>
      </c>
      <c r="F14" s="143">
        <f t="shared" si="1"/>
        <v>203504.73133893509</v>
      </c>
      <c r="G14" s="13">
        <f t="shared" si="2"/>
        <v>161699.99836959955</v>
      </c>
      <c r="H14" s="142">
        <f t="shared" si="5"/>
        <v>1127882.4485056682</v>
      </c>
      <c r="I14" s="143">
        <f t="shared" si="6"/>
        <v>1022576.572561352</v>
      </c>
      <c r="J14" s="13">
        <f t="shared" si="3"/>
        <v>56394.122425283414</v>
      </c>
      <c r="K14" s="13">
        <f t="shared" si="4"/>
        <v>105305.87594431613</v>
      </c>
      <c r="L14" s="20"/>
    </row>
    <row r="15" spans="1:13" x14ac:dyDescent="0.4">
      <c r="A15" s="1">
        <v>8</v>
      </c>
      <c r="B15" s="34">
        <f>IF(A15&lt;='Summary Inputs &amp; Assumptions'!$Q$41,Debt!B14+1,"")</f>
        <v>2029</v>
      </c>
      <c r="C15" s="141">
        <v>241330.41805580395</v>
      </c>
      <c r="D15" s="141">
        <v>202402.2876389861</v>
      </c>
      <c r="E15" s="142">
        <f t="shared" si="0"/>
        <v>160886.94537053598</v>
      </c>
      <c r="F15" s="143">
        <f t="shared" si="1"/>
        <v>202402.2876389861</v>
      </c>
      <c r="G15" s="13">
        <f t="shared" si="2"/>
        <v>160886.94537053598</v>
      </c>
      <c r="H15" s="142">
        <f t="shared" si="5"/>
        <v>1022576.572561352</v>
      </c>
      <c r="I15" s="143">
        <f t="shared" si="6"/>
        <v>912818.45581888361</v>
      </c>
      <c r="J15" s="13">
        <f t="shared" si="3"/>
        <v>51128.828628067604</v>
      </c>
      <c r="K15" s="13">
        <f t="shared" si="4"/>
        <v>109758.11674246838</v>
      </c>
      <c r="L15" s="20"/>
      <c r="M15" s="20"/>
    </row>
    <row r="16" spans="1:13" x14ac:dyDescent="0.4">
      <c r="A16" s="1">
        <v>9</v>
      </c>
      <c r="B16" s="34">
        <f>IF(A16&lt;='Summary Inputs &amp; Assumptions'!$Q$41,Debt!B15+1,"")</f>
        <v>2030</v>
      </c>
      <c r="C16" s="141">
        <v>240105.69070558564</v>
      </c>
      <c r="D16" s="141">
        <v>201294.34468001826</v>
      </c>
      <c r="E16" s="142">
        <f t="shared" si="0"/>
        <v>160070.46047039042</v>
      </c>
      <c r="F16" s="143">
        <f t="shared" si="1"/>
        <v>201294.34468001826</v>
      </c>
      <c r="G16" s="13">
        <f t="shared" si="2"/>
        <v>160070.46047039042</v>
      </c>
      <c r="H16" s="142">
        <f t="shared" si="5"/>
        <v>912818.45581888361</v>
      </c>
      <c r="I16" s="143">
        <f t="shared" si="6"/>
        <v>798388.91813943733</v>
      </c>
      <c r="J16" s="13">
        <f t="shared" si="3"/>
        <v>45640.922790944183</v>
      </c>
      <c r="K16" s="13">
        <f t="shared" si="4"/>
        <v>114429.53767944624</v>
      </c>
      <c r="L16" s="20"/>
      <c r="M16" s="20"/>
    </row>
    <row r="17" spans="1:15" x14ac:dyDescent="0.4">
      <c r="A17" s="1">
        <v>10</v>
      </c>
      <c r="B17" s="34">
        <f>IF(A17&lt;='Summary Inputs &amp; Assumptions'!$Q$41,Debt!B16+1,"")</f>
        <v>2031</v>
      </c>
      <c r="C17" s="141">
        <v>238875.65481549702</v>
      </c>
      <c r="D17" s="141">
        <v>200180.74282800633</v>
      </c>
      <c r="E17" s="142">
        <f t="shared" si="0"/>
        <v>159250.43654366469</v>
      </c>
      <c r="F17" s="143">
        <f t="shared" si="1"/>
        <v>200180.74282800633</v>
      </c>
      <c r="G17" s="13">
        <f t="shared" si="2"/>
        <v>159250.43654366469</v>
      </c>
      <c r="H17" s="142">
        <f t="shared" si="5"/>
        <v>798388.91813943733</v>
      </c>
      <c r="I17" s="143">
        <f t="shared" si="6"/>
        <v>679057.92750274448</v>
      </c>
      <c r="J17" s="13">
        <f t="shared" si="3"/>
        <v>39919.445906971872</v>
      </c>
      <c r="K17" s="13">
        <f t="shared" si="4"/>
        <v>119330.99063669282</v>
      </c>
      <c r="L17" s="20"/>
      <c r="M17" s="20"/>
    </row>
    <row r="18" spans="1:15" x14ac:dyDescent="0.4">
      <c r="A18" s="1">
        <v>11</v>
      </c>
      <c r="B18" s="34">
        <f>IF(A18&lt;='Summary Inputs &amp; Assumptions'!$Q$41,Debt!B17+1,"")</f>
        <v>2032</v>
      </c>
      <c r="C18" s="141">
        <v>237640.14665671915</v>
      </c>
      <c r="D18" s="141">
        <v>199061.31940519094</v>
      </c>
      <c r="E18" s="142">
        <f t="shared" si="0"/>
        <v>158426.76443781276</v>
      </c>
      <c r="F18" s="143">
        <f t="shared" si="1"/>
        <v>199061.31940519094</v>
      </c>
      <c r="G18" s="13">
        <f t="shared" si="2"/>
        <v>158426.76443781276</v>
      </c>
      <c r="H18" s="142">
        <f t="shared" si="5"/>
        <v>679057.92750274448</v>
      </c>
      <c r="I18" s="143">
        <f t="shared" si="6"/>
        <v>554584.0594400689</v>
      </c>
      <c r="J18" s="13">
        <f t="shared" si="3"/>
        <v>33952.896375137228</v>
      </c>
      <c r="K18" s="13">
        <f t="shared" si="4"/>
        <v>124473.86806267552</v>
      </c>
      <c r="L18" s="20"/>
      <c r="M18" s="20"/>
    </row>
    <row r="19" spans="1:15" x14ac:dyDescent="0.4">
      <c r="A19" s="1">
        <v>12</v>
      </c>
      <c r="B19" s="34">
        <f>IF(A19&lt;='Summary Inputs &amp; Assumptions'!$Q$41,Debt!B18+1,"")</f>
        <v>2033</v>
      </c>
      <c r="C19" s="141">
        <v>236398.99939853104</v>
      </c>
      <c r="D19" s="141">
        <v>197935.9086287574</v>
      </c>
      <c r="E19" s="142">
        <f t="shared" si="0"/>
        <v>157599.33293235404</v>
      </c>
      <c r="F19" s="143">
        <f t="shared" si="1"/>
        <v>197935.9086287574</v>
      </c>
      <c r="G19" s="13">
        <f t="shared" si="2"/>
        <v>157599.33293235404</v>
      </c>
      <c r="H19" s="142">
        <f t="shared" si="5"/>
        <v>554584.0594400689</v>
      </c>
      <c r="I19" s="143">
        <f t="shared" si="6"/>
        <v>424713.92947971832</v>
      </c>
      <c r="J19" s="13">
        <f t="shared" si="3"/>
        <v>27729.202972003448</v>
      </c>
      <c r="K19" s="13">
        <f t="shared" si="4"/>
        <v>129870.12996035059</v>
      </c>
      <c r="L19" s="20"/>
    </row>
    <row r="20" spans="1:15" x14ac:dyDescent="0.4">
      <c r="A20" s="1">
        <v>13</v>
      </c>
      <c r="B20" s="34">
        <f>IF(A20&lt;='Summary Inputs &amp; Assumptions'!$Q$41,Debt!B19+1,"")</f>
        <v>2034</v>
      </c>
      <c r="C20" s="141">
        <v>235152.04304575309</v>
      </c>
      <c r="D20" s="141">
        <v>196804.34154828879</v>
      </c>
      <c r="E20" s="142">
        <f t="shared" si="0"/>
        <v>156768.02869716872</v>
      </c>
      <c r="F20" s="143">
        <f t="shared" si="1"/>
        <v>196804.34154828879</v>
      </c>
      <c r="G20" s="13">
        <f t="shared" si="2"/>
        <v>156768.02869716872</v>
      </c>
      <c r="H20" s="142">
        <f t="shared" si="5"/>
        <v>424713.92947971832</v>
      </c>
      <c r="I20" s="143">
        <f t="shared" si="6"/>
        <v>289181.59725653555</v>
      </c>
      <c r="J20" s="13">
        <f t="shared" si="3"/>
        <v>21235.696473985918</v>
      </c>
      <c r="K20" s="13">
        <f t="shared" si="4"/>
        <v>135532.33222318281</v>
      </c>
      <c r="L20" s="20"/>
    </row>
    <row r="21" spans="1:15" x14ac:dyDescent="0.4">
      <c r="A21" s="1">
        <v>14</v>
      </c>
      <c r="B21" s="34">
        <f>IF(A21&lt;='Summary Inputs &amp; Assumptions'!$Q$41,Debt!B20+1,"")</f>
        <v>2035</v>
      </c>
      <c r="C21" s="141">
        <v>233899.10437494196</v>
      </c>
      <c r="D21" s="141">
        <v>195666.44598197006</v>
      </c>
      <c r="E21" s="142">
        <f t="shared" si="0"/>
        <v>155932.73624996131</v>
      </c>
      <c r="F21" s="143">
        <f t="shared" si="1"/>
        <v>195666.44598197006</v>
      </c>
      <c r="G21" s="13">
        <f t="shared" si="2"/>
        <v>155932.73624996131</v>
      </c>
      <c r="H21" s="142">
        <f t="shared" si="5"/>
        <v>289181.59725653555</v>
      </c>
      <c r="I21" s="143">
        <f t="shared" si="6"/>
        <v>147707.94086940101</v>
      </c>
      <c r="J21" s="13">
        <f t="shared" si="3"/>
        <v>14459.079862826778</v>
      </c>
      <c r="K21" s="13">
        <f t="shared" si="4"/>
        <v>141473.65638713454</v>
      </c>
      <c r="L21" s="20"/>
    </row>
    <row r="22" spans="1:15" x14ac:dyDescent="0.4">
      <c r="A22" s="1">
        <v>15</v>
      </c>
      <c r="B22" s="34">
        <f>IF(A22&lt;='Summary Inputs &amp; Assumptions'!$Q$41,Debt!B21+1,"")</f>
        <v>2036</v>
      </c>
      <c r="C22" s="141">
        <v>232640.00686930964</v>
      </c>
      <c r="D22" s="141">
        <v>194522.04645151668</v>
      </c>
      <c r="E22" s="142">
        <f t="shared" si="0"/>
        <v>155093.3379128731</v>
      </c>
      <c r="F22" s="143">
        <f t="shared" si="1"/>
        <v>194522.04645151668</v>
      </c>
      <c r="G22" s="13">
        <f t="shared" si="2"/>
        <v>155093.3379128731</v>
      </c>
      <c r="H22" s="142">
        <f t="shared" si="5"/>
        <v>147707.94086940101</v>
      </c>
      <c r="I22" s="143">
        <f t="shared" si="6"/>
        <v>0</v>
      </c>
      <c r="J22" s="13">
        <f t="shared" si="3"/>
        <v>7385.3970434700504</v>
      </c>
      <c r="K22" s="13">
        <f t="shared" si="4"/>
        <v>147707.94086940304</v>
      </c>
      <c r="L22" s="20"/>
    </row>
    <row r="23" spans="1:15" x14ac:dyDescent="0.4">
      <c r="A23" s="1">
        <v>16</v>
      </c>
      <c r="B23" s="34" t="str">
        <f>IF(A23&lt;='Summary Inputs &amp; Assumptions'!$Q$41,Debt!B22+1,"")</f>
        <v/>
      </c>
      <c r="C23" s="141">
        <v>0</v>
      </c>
      <c r="D23" s="141">
        <v>0</v>
      </c>
      <c r="E23" s="142">
        <f t="shared" si="0"/>
        <v>0</v>
      </c>
      <c r="F23" s="143">
        <f t="shared" si="1"/>
        <v>0</v>
      </c>
      <c r="G23" s="13">
        <f t="shared" si="2"/>
        <v>0</v>
      </c>
      <c r="H23" s="142">
        <f t="shared" si="5"/>
        <v>0</v>
      </c>
      <c r="I23" s="143">
        <f t="shared" ref="I23:I42" si="7">H23-MIN(K23,I22)</f>
        <v>0</v>
      </c>
      <c r="J23" s="13">
        <f t="shared" si="3"/>
        <v>0</v>
      </c>
      <c r="K23" s="13">
        <f t="shared" ref="K23:K42" si="8">G23-J23</f>
        <v>0</v>
      </c>
      <c r="L23" s="20"/>
    </row>
    <row r="24" spans="1:15" outlineLevel="1" x14ac:dyDescent="0.4">
      <c r="A24" s="1">
        <v>17</v>
      </c>
      <c r="B24" s="34" t="str">
        <f>IF(A24&lt;='Summary Inputs &amp; Assumptions'!$Q$41,Debt!B23+1,"")</f>
        <v/>
      </c>
      <c r="C24" s="141">
        <v>0</v>
      </c>
      <c r="D24" s="141">
        <v>0</v>
      </c>
      <c r="E24" s="142">
        <f t="shared" si="0"/>
        <v>0</v>
      </c>
      <c r="F24" s="143">
        <f t="shared" si="1"/>
        <v>0</v>
      </c>
      <c r="G24" s="13">
        <f t="shared" si="2"/>
        <v>0</v>
      </c>
      <c r="H24" s="142">
        <f t="shared" si="5"/>
        <v>0</v>
      </c>
      <c r="I24" s="143">
        <f t="shared" si="7"/>
        <v>0</v>
      </c>
      <c r="J24" s="13">
        <f t="shared" si="3"/>
        <v>0</v>
      </c>
      <c r="K24" s="13">
        <f t="shared" si="8"/>
        <v>0</v>
      </c>
      <c r="L24" s="20"/>
    </row>
    <row r="25" spans="1:15" outlineLevel="1" x14ac:dyDescent="0.4">
      <c r="A25" s="1">
        <v>18</v>
      </c>
      <c r="B25" s="34" t="str">
        <f>IF(A25&lt;='Summary Inputs &amp; Assumptions'!$Q$41,Debt!B24+1,"")</f>
        <v/>
      </c>
      <c r="C25" s="141">
        <v>0</v>
      </c>
      <c r="D25" s="141">
        <v>0</v>
      </c>
      <c r="E25" s="142">
        <f t="shared" si="0"/>
        <v>0</v>
      </c>
      <c r="F25" s="143">
        <f t="shared" si="1"/>
        <v>0</v>
      </c>
      <c r="G25" s="13">
        <f t="shared" si="2"/>
        <v>0</v>
      </c>
      <c r="H25" s="142">
        <f t="shared" si="5"/>
        <v>0</v>
      </c>
      <c r="I25" s="143">
        <f t="shared" si="7"/>
        <v>0</v>
      </c>
      <c r="J25" s="13">
        <f t="shared" si="3"/>
        <v>0</v>
      </c>
      <c r="K25" s="13">
        <f t="shared" si="8"/>
        <v>0</v>
      </c>
      <c r="L25" s="20"/>
    </row>
    <row r="26" spans="1:15" outlineLevel="1" x14ac:dyDescent="0.4">
      <c r="A26" s="1">
        <v>19</v>
      </c>
      <c r="B26" s="34" t="str">
        <f>IF(A26&lt;='Summary Inputs &amp; Assumptions'!$Q$41,Debt!B25+1,"")</f>
        <v/>
      </c>
      <c r="C26" s="141">
        <v>0</v>
      </c>
      <c r="D26" s="141">
        <v>0</v>
      </c>
      <c r="E26" s="142">
        <f t="shared" si="0"/>
        <v>0</v>
      </c>
      <c r="F26" s="143">
        <f t="shared" si="1"/>
        <v>0</v>
      </c>
      <c r="G26" s="13">
        <f t="shared" si="2"/>
        <v>0</v>
      </c>
      <c r="H26" s="142">
        <f t="shared" si="5"/>
        <v>0</v>
      </c>
      <c r="I26" s="143">
        <f t="shared" si="7"/>
        <v>0</v>
      </c>
      <c r="J26" s="13">
        <f t="shared" si="3"/>
        <v>0</v>
      </c>
      <c r="K26" s="13">
        <f t="shared" si="8"/>
        <v>0</v>
      </c>
      <c r="L26" s="20"/>
    </row>
    <row r="27" spans="1:15" outlineLevel="1" x14ac:dyDescent="0.4">
      <c r="A27" s="1">
        <v>20</v>
      </c>
      <c r="B27" s="34" t="str">
        <f>IF(A27&lt;='Summary Inputs &amp; Assumptions'!$Q$41,Debt!B26+1,"")</f>
        <v/>
      </c>
      <c r="C27" s="141">
        <v>0</v>
      </c>
      <c r="D27" s="141">
        <v>0</v>
      </c>
      <c r="E27" s="142">
        <f t="shared" si="0"/>
        <v>0</v>
      </c>
      <c r="F27" s="143">
        <f t="shared" si="1"/>
        <v>0</v>
      </c>
      <c r="G27" s="13">
        <f t="shared" si="2"/>
        <v>0</v>
      </c>
      <c r="H27" s="142">
        <f t="shared" si="5"/>
        <v>0</v>
      </c>
      <c r="I27" s="143">
        <f t="shared" si="7"/>
        <v>0</v>
      </c>
      <c r="J27" s="13">
        <f t="shared" si="3"/>
        <v>0</v>
      </c>
      <c r="K27" s="13">
        <f t="shared" si="8"/>
        <v>0</v>
      </c>
      <c r="L27" s="20"/>
    </row>
    <row r="28" spans="1:15" outlineLevel="1" x14ac:dyDescent="0.4">
      <c r="A28" s="1">
        <v>21</v>
      </c>
      <c r="B28" s="34" t="str">
        <f>IF(A28&lt;='Summary Inputs &amp; Assumptions'!$Q$41,Debt!B27+1,"")</f>
        <v/>
      </c>
      <c r="C28" s="141">
        <v>0</v>
      </c>
      <c r="D28" s="141">
        <v>0</v>
      </c>
      <c r="E28" s="142">
        <f t="shared" si="0"/>
        <v>0</v>
      </c>
      <c r="F28" s="143">
        <f t="shared" si="1"/>
        <v>0</v>
      </c>
      <c r="G28" s="13">
        <f t="shared" si="2"/>
        <v>0</v>
      </c>
      <c r="H28" s="142">
        <f t="shared" si="5"/>
        <v>0</v>
      </c>
      <c r="I28" s="143">
        <f t="shared" si="7"/>
        <v>0</v>
      </c>
      <c r="J28" s="13">
        <f t="shared" si="3"/>
        <v>0</v>
      </c>
      <c r="K28" s="13">
        <f t="shared" si="8"/>
        <v>0</v>
      </c>
      <c r="L28" s="20"/>
    </row>
    <row r="29" spans="1:15" outlineLevel="1" x14ac:dyDescent="0.4">
      <c r="A29" s="1">
        <v>22</v>
      </c>
      <c r="B29" s="34" t="str">
        <f>IF(A29&lt;='Summary Inputs &amp; Assumptions'!$Q$41,Debt!B28+1,"")</f>
        <v/>
      </c>
      <c r="C29" s="141">
        <v>0</v>
      </c>
      <c r="D29" s="141">
        <v>0</v>
      </c>
      <c r="E29" s="142">
        <f t="shared" si="0"/>
        <v>0</v>
      </c>
      <c r="F29" s="143">
        <f t="shared" si="1"/>
        <v>0</v>
      </c>
      <c r="G29" s="13">
        <f t="shared" si="2"/>
        <v>0</v>
      </c>
      <c r="H29" s="142">
        <f t="shared" si="5"/>
        <v>0</v>
      </c>
      <c r="I29" s="143">
        <f t="shared" si="7"/>
        <v>0</v>
      </c>
      <c r="J29" s="13">
        <f t="shared" si="3"/>
        <v>0</v>
      </c>
      <c r="K29" s="13">
        <f t="shared" si="8"/>
        <v>0</v>
      </c>
      <c r="L29" s="20"/>
    </row>
    <row r="30" spans="1:15" outlineLevel="1" x14ac:dyDescent="0.4">
      <c r="A30" s="1">
        <v>23</v>
      </c>
      <c r="B30" s="34" t="str">
        <f>IF(A30&lt;='Summary Inputs &amp; Assumptions'!$Q$41,Debt!B29+1,"")</f>
        <v/>
      </c>
      <c r="C30" s="141">
        <v>0</v>
      </c>
      <c r="D30" s="141">
        <v>0</v>
      </c>
      <c r="E30" s="142">
        <f t="shared" si="0"/>
        <v>0</v>
      </c>
      <c r="F30" s="143">
        <f t="shared" si="1"/>
        <v>0</v>
      </c>
      <c r="G30" s="13">
        <f t="shared" si="2"/>
        <v>0</v>
      </c>
      <c r="H30" s="142">
        <f t="shared" si="5"/>
        <v>0</v>
      </c>
      <c r="I30" s="143">
        <f t="shared" si="7"/>
        <v>0</v>
      </c>
      <c r="J30" s="13">
        <f t="shared" si="3"/>
        <v>0</v>
      </c>
      <c r="K30" s="13">
        <f t="shared" si="8"/>
        <v>0</v>
      </c>
      <c r="L30" s="20"/>
      <c r="O30" s="11"/>
    </row>
    <row r="31" spans="1:15" outlineLevel="1" x14ac:dyDescent="0.4">
      <c r="A31" s="1">
        <v>24</v>
      </c>
      <c r="B31" s="34" t="str">
        <f>IF(A31&lt;='Summary Inputs &amp; Assumptions'!$Q$41,Debt!B30+1,"")</f>
        <v/>
      </c>
      <c r="C31" s="141">
        <v>0</v>
      </c>
      <c r="D31" s="141">
        <v>0</v>
      </c>
      <c r="E31" s="142">
        <f t="shared" si="0"/>
        <v>0</v>
      </c>
      <c r="F31" s="143">
        <f t="shared" si="1"/>
        <v>0</v>
      </c>
      <c r="G31" s="13">
        <f t="shared" si="2"/>
        <v>0</v>
      </c>
      <c r="H31" s="142">
        <f t="shared" si="5"/>
        <v>0</v>
      </c>
      <c r="I31" s="143">
        <f t="shared" si="7"/>
        <v>0</v>
      </c>
      <c r="J31" s="13">
        <f t="shared" si="3"/>
        <v>0</v>
      </c>
      <c r="K31" s="13">
        <f t="shared" si="8"/>
        <v>0</v>
      </c>
      <c r="L31" s="20"/>
      <c r="O31" s="11"/>
    </row>
    <row r="32" spans="1:15" outlineLevel="1" x14ac:dyDescent="0.4">
      <c r="A32" s="1">
        <v>25</v>
      </c>
      <c r="B32" s="34" t="str">
        <f>IF(A32&lt;='Summary Inputs &amp; Assumptions'!$Q$41,Debt!B31+1,"")</f>
        <v/>
      </c>
      <c r="C32" s="141">
        <v>0</v>
      </c>
      <c r="D32" s="141">
        <v>0</v>
      </c>
      <c r="E32" s="142">
        <f t="shared" si="0"/>
        <v>0</v>
      </c>
      <c r="F32" s="143">
        <f t="shared" si="1"/>
        <v>0</v>
      </c>
      <c r="G32" s="13">
        <f t="shared" si="2"/>
        <v>0</v>
      </c>
      <c r="H32" s="142">
        <f t="shared" si="5"/>
        <v>0</v>
      </c>
      <c r="I32" s="143">
        <f t="shared" si="7"/>
        <v>0</v>
      </c>
      <c r="J32" s="13">
        <f t="shared" si="3"/>
        <v>0</v>
      </c>
      <c r="K32" s="13">
        <f t="shared" si="8"/>
        <v>0</v>
      </c>
      <c r="L32" s="20"/>
      <c r="O32" s="11"/>
    </row>
    <row r="33" spans="1:15" outlineLevel="1" x14ac:dyDescent="0.4">
      <c r="A33" s="1">
        <v>26</v>
      </c>
      <c r="B33" s="34" t="str">
        <f>IF(A33&lt;='Summary Inputs &amp; Assumptions'!$Q$41,Debt!B32+1,"")</f>
        <v/>
      </c>
      <c r="C33" s="141">
        <v>0</v>
      </c>
      <c r="D33" s="141">
        <v>0</v>
      </c>
      <c r="E33" s="142">
        <f t="shared" si="0"/>
        <v>0</v>
      </c>
      <c r="F33" s="143">
        <f t="shared" si="1"/>
        <v>0</v>
      </c>
      <c r="G33" s="13">
        <f t="shared" si="2"/>
        <v>0</v>
      </c>
      <c r="H33" s="142">
        <f t="shared" si="5"/>
        <v>0</v>
      </c>
      <c r="I33" s="143">
        <f t="shared" si="7"/>
        <v>0</v>
      </c>
      <c r="J33" s="13">
        <f t="shared" si="3"/>
        <v>0</v>
      </c>
      <c r="K33" s="13">
        <f t="shared" si="8"/>
        <v>0</v>
      </c>
      <c r="L33" s="20"/>
      <c r="O33" s="11"/>
    </row>
    <row r="34" spans="1:15" outlineLevel="1" x14ac:dyDescent="0.4">
      <c r="A34" s="1">
        <v>27</v>
      </c>
      <c r="B34" s="34" t="str">
        <f>IF(A34&lt;='Summary Inputs &amp; Assumptions'!$Q$41,Debt!B33+1,"")</f>
        <v/>
      </c>
      <c r="C34" s="141">
        <v>0</v>
      </c>
      <c r="D34" s="141">
        <v>0</v>
      </c>
      <c r="E34" s="142">
        <f t="shared" si="0"/>
        <v>0</v>
      </c>
      <c r="F34" s="143">
        <f t="shared" si="1"/>
        <v>0</v>
      </c>
      <c r="G34" s="13">
        <f t="shared" si="2"/>
        <v>0</v>
      </c>
      <c r="H34" s="142">
        <f t="shared" si="5"/>
        <v>0</v>
      </c>
      <c r="I34" s="143">
        <f t="shared" si="7"/>
        <v>0</v>
      </c>
      <c r="J34" s="13">
        <f t="shared" si="3"/>
        <v>0</v>
      </c>
      <c r="K34" s="13">
        <f t="shared" si="8"/>
        <v>0</v>
      </c>
      <c r="L34" s="20"/>
      <c r="O34" s="11"/>
    </row>
    <row r="35" spans="1:15" outlineLevel="1" x14ac:dyDescent="0.4">
      <c r="A35" s="1">
        <v>28</v>
      </c>
      <c r="B35" s="34" t="str">
        <f>IF(A35&lt;='Summary Inputs &amp; Assumptions'!$Q$41,Debt!B34+1,"")</f>
        <v/>
      </c>
      <c r="C35" s="141">
        <v>0</v>
      </c>
      <c r="D35" s="141">
        <v>0</v>
      </c>
      <c r="E35" s="142">
        <f t="shared" si="0"/>
        <v>0</v>
      </c>
      <c r="F35" s="143">
        <f t="shared" si="1"/>
        <v>0</v>
      </c>
      <c r="G35" s="13">
        <f t="shared" si="2"/>
        <v>0</v>
      </c>
      <c r="H35" s="142">
        <f t="shared" si="5"/>
        <v>0</v>
      </c>
      <c r="I35" s="143">
        <f t="shared" si="7"/>
        <v>0</v>
      </c>
      <c r="J35" s="13">
        <f t="shared" si="3"/>
        <v>0</v>
      </c>
      <c r="K35" s="13">
        <f t="shared" si="8"/>
        <v>0</v>
      </c>
      <c r="L35" s="20"/>
      <c r="O35" s="11"/>
    </row>
    <row r="36" spans="1:15" outlineLevel="1" x14ac:dyDescent="0.4">
      <c r="A36" s="1">
        <v>29</v>
      </c>
      <c r="B36" s="34" t="str">
        <f>IF(A36&lt;='Summary Inputs &amp; Assumptions'!$Q$41,Debt!B35+1,"")</f>
        <v/>
      </c>
      <c r="C36" s="141">
        <v>0</v>
      </c>
      <c r="D36" s="141">
        <v>0</v>
      </c>
      <c r="E36" s="142">
        <f t="shared" si="0"/>
        <v>0</v>
      </c>
      <c r="F36" s="143">
        <f t="shared" si="1"/>
        <v>0</v>
      </c>
      <c r="G36" s="13">
        <f t="shared" si="2"/>
        <v>0</v>
      </c>
      <c r="H36" s="142">
        <f t="shared" si="5"/>
        <v>0</v>
      </c>
      <c r="I36" s="143">
        <f t="shared" si="7"/>
        <v>0</v>
      </c>
      <c r="J36" s="13">
        <f t="shared" si="3"/>
        <v>0</v>
      </c>
      <c r="K36" s="13">
        <f t="shared" si="8"/>
        <v>0</v>
      </c>
      <c r="L36" s="20"/>
      <c r="O36" s="11"/>
    </row>
    <row r="37" spans="1:15" outlineLevel="1" x14ac:dyDescent="0.4">
      <c r="A37" s="1">
        <v>30</v>
      </c>
      <c r="B37" s="34" t="str">
        <f>IF(A37&lt;='Summary Inputs &amp; Assumptions'!$Q$41,Debt!B36+1,"")</f>
        <v/>
      </c>
      <c r="C37" s="141">
        <v>0</v>
      </c>
      <c r="D37" s="141">
        <v>0</v>
      </c>
      <c r="E37" s="142">
        <f t="shared" si="0"/>
        <v>0</v>
      </c>
      <c r="F37" s="143">
        <f t="shared" si="1"/>
        <v>0</v>
      </c>
      <c r="G37" s="13">
        <f t="shared" si="2"/>
        <v>0</v>
      </c>
      <c r="H37" s="142">
        <f t="shared" si="5"/>
        <v>0</v>
      </c>
      <c r="I37" s="143">
        <f t="shared" si="7"/>
        <v>0</v>
      </c>
      <c r="J37" s="13">
        <f t="shared" si="3"/>
        <v>0</v>
      </c>
      <c r="K37" s="13">
        <f t="shared" si="8"/>
        <v>0</v>
      </c>
      <c r="L37" s="20"/>
      <c r="O37" s="11"/>
    </row>
    <row r="38" spans="1:15" outlineLevel="1" x14ac:dyDescent="0.4">
      <c r="A38" s="1">
        <v>31</v>
      </c>
      <c r="B38" s="34" t="str">
        <f>IF(A38&lt;='Summary Inputs &amp; Assumptions'!$Q$41,Debt!B37+1,"")</f>
        <v/>
      </c>
      <c r="C38" s="141"/>
      <c r="D38" s="141"/>
      <c r="E38" s="142">
        <f t="shared" si="0"/>
        <v>0</v>
      </c>
      <c r="F38" s="143">
        <f t="shared" si="1"/>
        <v>0</v>
      </c>
      <c r="G38" s="13">
        <f t="shared" si="2"/>
        <v>0</v>
      </c>
      <c r="H38" s="142">
        <f t="shared" si="5"/>
        <v>0</v>
      </c>
      <c r="I38" s="143">
        <f t="shared" si="7"/>
        <v>0</v>
      </c>
      <c r="J38" s="13">
        <f t="shared" si="3"/>
        <v>0</v>
      </c>
      <c r="K38" s="13">
        <f t="shared" si="8"/>
        <v>0</v>
      </c>
      <c r="L38" s="20"/>
      <c r="O38" s="11"/>
    </row>
    <row r="39" spans="1:15" outlineLevel="1" x14ac:dyDescent="0.4">
      <c r="A39" s="1">
        <v>32</v>
      </c>
      <c r="B39" s="34" t="str">
        <f>IF(A39&lt;='Summary Inputs &amp; Assumptions'!$Q$41,Debt!B38+1,"")</f>
        <v/>
      </c>
      <c r="C39" s="141"/>
      <c r="D39" s="141"/>
      <c r="E39" s="142">
        <f t="shared" si="0"/>
        <v>0</v>
      </c>
      <c r="F39" s="143">
        <f t="shared" si="1"/>
        <v>0</v>
      </c>
      <c r="G39" s="13">
        <f t="shared" si="2"/>
        <v>0</v>
      </c>
      <c r="H39" s="142">
        <f t="shared" si="5"/>
        <v>0</v>
      </c>
      <c r="I39" s="143">
        <f t="shared" si="7"/>
        <v>0</v>
      </c>
      <c r="J39" s="13">
        <f t="shared" si="3"/>
        <v>0</v>
      </c>
      <c r="K39" s="13">
        <f t="shared" si="8"/>
        <v>0</v>
      </c>
      <c r="L39" s="20"/>
      <c r="O39" s="11"/>
    </row>
    <row r="40" spans="1:15" outlineLevel="1" x14ac:dyDescent="0.4">
      <c r="A40" s="1">
        <v>33</v>
      </c>
      <c r="B40" s="34" t="str">
        <f>IF(A40&lt;='Summary Inputs &amp; Assumptions'!$Q$41,Debt!B39+1,"")</f>
        <v/>
      </c>
      <c r="C40" s="141"/>
      <c r="D40" s="141"/>
      <c r="E40" s="142">
        <f t="shared" si="0"/>
        <v>0</v>
      </c>
      <c r="F40" s="143">
        <f t="shared" si="1"/>
        <v>0</v>
      </c>
      <c r="G40" s="13">
        <f t="shared" si="2"/>
        <v>0</v>
      </c>
      <c r="H40" s="142">
        <f t="shared" si="5"/>
        <v>0</v>
      </c>
      <c r="I40" s="143">
        <f t="shared" si="7"/>
        <v>0</v>
      </c>
      <c r="J40" s="13">
        <f t="shared" si="3"/>
        <v>0</v>
      </c>
      <c r="K40" s="13">
        <f t="shared" si="8"/>
        <v>0</v>
      </c>
      <c r="L40" s="20"/>
      <c r="O40" s="11"/>
    </row>
    <row r="41" spans="1:15" outlineLevel="1" x14ac:dyDescent="0.4">
      <c r="A41" s="1">
        <v>34</v>
      </c>
      <c r="B41" s="34" t="str">
        <f>IF(A41&lt;='Summary Inputs &amp; Assumptions'!$Q$41,Debt!B40+1,"")</f>
        <v/>
      </c>
      <c r="C41" s="141"/>
      <c r="D41" s="141"/>
      <c r="E41" s="142">
        <f t="shared" si="0"/>
        <v>0</v>
      </c>
      <c r="F41" s="143">
        <f t="shared" si="1"/>
        <v>0</v>
      </c>
      <c r="G41" s="13">
        <f t="shared" si="2"/>
        <v>0</v>
      </c>
      <c r="H41" s="142">
        <f t="shared" si="5"/>
        <v>0</v>
      </c>
      <c r="I41" s="143">
        <f t="shared" si="7"/>
        <v>0</v>
      </c>
      <c r="J41" s="13">
        <f t="shared" si="3"/>
        <v>0</v>
      </c>
      <c r="K41" s="13">
        <f t="shared" si="8"/>
        <v>0</v>
      </c>
      <c r="L41" s="20"/>
      <c r="O41" s="11"/>
    </row>
    <row r="42" spans="1:15" outlineLevel="1" x14ac:dyDescent="0.4">
      <c r="A42" s="1">
        <v>35</v>
      </c>
      <c r="B42" s="34" t="str">
        <f>IF(A42&lt;='Summary Inputs &amp; Assumptions'!$Q$41,Debt!B41+1,"")</f>
        <v/>
      </c>
      <c r="C42" s="141"/>
      <c r="D42" s="141"/>
      <c r="E42" s="142">
        <f t="shared" si="0"/>
        <v>0</v>
      </c>
      <c r="F42" s="143">
        <f t="shared" si="1"/>
        <v>0</v>
      </c>
      <c r="G42" s="13">
        <f t="shared" si="2"/>
        <v>0</v>
      </c>
      <c r="H42" s="142">
        <f t="shared" si="5"/>
        <v>0</v>
      </c>
      <c r="I42" s="143">
        <f t="shared" si="7"/>
        <v>0</v>
      </c>
      <c r="J42" s="13">
        <f t="shared" si="3"/>
        <v>0</v>
      </c>
      <c r="K42" s="13">
        <f t="shared" si="8"/>
        <v>0</v>
      </c>
      <c r="L42" s="20"/>
      <c r="O42" s="11"/>
    </row>
    <row r="43" spans="1:15" x14ac:dyDescent="0.4">
      <c r="B43" s="34"/>
      <c r="D43" s="35"/>
      <c r="E43" s="144"/>
      <c r="F43" s="143"/>
      <c r="G43" s="13">
        <f t="shared" si="2"/>
        <v>0</v>
      </c>
      <c r="H43" s="144"/>
      <c r="I43" s="143"/>
      <c r="J43" s="13">
        <f t="shared" si="3"/>
        <v>0</v>
      </c>
      <c r="K43" s="13">
        <f t="shared" si="4"/>
        <v>0</v>
      </c>
      <c r="L43" s="20"/>
      <c r="O43" s="11"/>
    </row>
    <row r="44" spans="1:15" x14ac:dyDescent="0.4">
      <c r="B44" s="34"/>
      <c r="D44" s="35"/>
      <c r="E44" s="144"/>
      <c r="F44" s="143"/>
      <c r="G44" s="13">
        <f t="shared" si="2"/>
        <v>0</v>
      </c>
      <c r="H44" s="144"/>
      <c r="I44" s="143"/>
      <c r="J44" s="13"/>
      <c r="K44" s="13"/>
    </row>
    <row r="45" spans="1:15" ht="11.7" thickBot="1" x14ac:dyDescent="0.45">
      <c r="B45" s="137" t="s">
        <v>63</v>
      </c>
      <c r="C45" s="138">
        <f>SUM(C8:C44)</f>
        <v>3506325.6225552317</v>
      </c>
      <c r="D45" s="138">
        <f>SUM(D8:D44)</f>
        <v>2940326.1414930923</v>
      </c>
      <c r="E45" s="139">
        <f>SUM(E8:E28)</f>
        <v>2337550.4150368213</v>
      </c>
      <c r="F45" s="140">
        <f>SUM(F8:F28)</f>
        <v>2940326.1414930923</v>
      </c>
      <c r="G45" s="138"/>
      <c r="H45" s="139">
        <f>SUM(H8:H28)</f>
        <v>14639728.311172098</v>
      </c>
      <c r="I45" s="140">
        <f>SUM(I8:I28)</f>
        <v>13034164.311693883</v>
      </c>
      <c r="J45" s="138"/>
      <c r="K45" s="138"/>
      <c r="L45" s="31"/>
    </row>
  </sheetData>
  <pageMargins left="0.7" right="0.7" top="0.75" bottom="0.75" header="0.3" footer="0.3"/>
  <pageSetup scale="8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8834-05F4-45DF-BBD7-8D17C19280E0}">
  <sheetPr>
    <tabColor theme="1"/>
  </sheetPr>
  <dimension ref="A1:F37"/>
  <sheetViews>
    <sheetView showGridLines="0" view="pageBreakPreview" zoomScale="112" zoomScaleNormal="90" zoomScaleSheetLayoutView="110" workbookViewId="0">
      <selection activeCell="I29" sqref="I29"/>
    </sheetView>
  </sheetViews>
  <sheetFormatPr defaultColWidth="9.15625" defaultRowHeight="11.4" x14ac:dyDescent="0.4"/>
  <cols>
    <col min="1" max="1" width="9.15625" style="1"/>
    <col min="2" max="2" width="21.83984375" style="1" customWidth="1"/>
    <col min="3" max="4" width="16.41796875" style="1" customWidth="1"/>
    <col min="5" max="5" width="12.41796875" style="1" customWidth="1"/>
    <col min="6" max="6" width="13.26171875" style="1" bestFit="1" customWidth="1"/>
    <col min="7" max="16384" width="9.15625" style="1"/>
  </cols>
  <sheetData>
    <row r="1" spans="1:6" ht="12.3" x14ac:dyDescent="0.4">
      <c r="A1" s="106"/>
      <c r="B1" s="106"/>
      <c r="C1" s="106"/>
      <c r="D1" s="106"/>
      <c r="E1" s="106"/>
    </row>
    <row r="3" spans="1:6" x14ac:dyDescent="0.4">
      <c r="B3" s="1" t="s">
        <v>78</v>
      </c>
      <c r="C3" s="2">
        <f>'Summary Inputs &amp; Assumptions'!L16</f>
        <v>5739200</v>
      </c>
      <c r="D3" s="3">
        <f>C3/$C$3</f>
        <v>1</v>
      </c>
    </row>
    <row r="4" spans="1:6" x14ac:dyDescent="0.4">
      <c r="B4" s="1" t="s">
        <v>57</v>
      </c>
      <c r="C4" s="13">
        <f>'Financial Statements'!D61</f>
        <v>1605563.9994782147</v>
      </c>
      <c r="D4" s="3">
        <f t="shared" ref="D4:D5" si="0">C4/$C$3</f>
        <v>0.279753972588203</v>
      </c>
    </row>
    <row r="5" spans="1:6" x14ac:dyDescent="0.4">
      <c r="B5" s="1" t="s">
        <v>79</v>
      </c>
      <c r="C5" s="13">
        <f>C3-C4</f>
        <v>4133636.0005217856</v>
      </c>
      <c r="D5" s="3">
        <f t="shared" si="0"/>
        <v>0.720246027411797</v>
      </c>
      <c r="F5" s="13"/>
    </row>
    <row r="7" spans="1:6" x14ac:dyDescent="0.4">
      <c r="B7" s="1" t="s">
        <v>82</v>
      </c>
      <c r="C7" s="104">
        <f>'Summary Inputs &amp; Assumptions'!L39*'Summary Inputs &amp; Assumptions'!L38</f>
        <v>1704542.4000000001</v>
      </c>
      <c r="D7" s="3">
        <f>C7/$C$5</f>
        <v>0.41235909494325024</v>
      </c>
    </row>
    <row r="8" spans="1:6" x14ac:dyDescent="0.4">
      <c r="B8" s="1" t="s">
        <v>83</v>
      </c>
      <c r="C8" s="2">
        <f>C5-C7</f>
        <v>2429093.6005217852</v>
      </c>
      <c r="D8" s="3">
        <f>C8/$C$5</f>
        <v>0.58764090505674971</v>
      </c>
    </row>
    <row r="13" spans="1:6" ht="23.1" thickBot="1" x14ac:dyDescent="0.45">
      <c r="B13" s="15" t="s">
        <v>80</v>
      </c>
      <c r="C13" s="15" t="s">
        <v>84</v>
      </c>
      <c r="D13" s="15" t="s">
        <v>85</v>
      </c>
      <c r="E13" s="15" t="s">
        <v>63</v>
      </c>
    </row>
    <row r="15" spans="1:6" x14ac:dyDescent="0.4">
      <c r="B15" s="1">
        <f>YEAR('Summary Inputs &amp; Assumptions'!T7)</f>
        <v>2022</v>
      </c>
      <c r="C15" s="2">
        <f>SUMIFS('Summary Inputs &amp; Assumptions'!$U$15:$U$18,'Summary Inputs &amp; Assumptions'!$Q$7:$Q$10,'Capital Contribution Schedule'!B15)*$C$7</f>
        <v>340908.48000000004</v>
      </c>
      <c r="D15" s="2">
        <f>SUMIFS('Summary Inputs &amp; Assumptions'!$V$15:$V$18,'Summary Inputs &amp; Assumptions'!$Q$7:$Q$10,'Capital Contribution Schedule'!B15)*$C$8</f>
        <v>2429093.6005217852</v>
      </c>
      <c r="E15" s="14">
        <f>C15+D15</f>
        <v>2770002.0805217852</v>
      </c>
    </row>
    <row r="16" spans="1:6" x14ac:dyDescent="0.4">
      <c r="B16" s="1">
        <f>B15+1</f>
        <v>2023</v>
      </c>
      <c r="C16" s="2">
        <f>SUMIFS('Summary Inputs &amp; Assumptions'!$U$15:$U$18,'Summary Inputs &amp; Assumptions'!$Q$7:$Q$10,'Capital Contribution Schedule'!B16)*$C$7</f>
        <v>1363633.9200000002</v>
      </c>
      <c r="D16" s="2">
        <f>SUMIFS('Summary Inputs &amp; Assumptions'!$V$15:$V$18,'Summary Inputs &amp; Assumptions'!$Q$7:$Q$10,'Capital Contribution Schedule'!B16)*$C$8</f>
        <v>0</v>
      </c>
      <c r="E16" s="14">
        <f t="shared" ref="E16:E21" si="1">C16+D16</f>
        <v>1363633.9200000002</v>
      </c>
    </row>
    <row r="17" spans="2:5" x14ac:dyDescent="0.4">
      <c r="B17" s="1">
        <f t="shared" ref="B17:B34" si="2">B16+1</f>
        <v>2024</v>
      </c>
      <c r="C17" s="2">
        <f>SUMIFS('Summary Inputs &amp; Assumptions'!$U$15:$U$18,'Summary Inputs &amp; Assumptions'!$Q$7:$Q$10,'Capital Contribution Schedule'!B17)*$C$7</f>
        <v>0</v>
      </c>
      <c r="D17" s="2">
        <f>SUMIFS('Summary Inputs &amp; Assumptions'!$V$15:$V$18,'Summary Inputs &amp; Assumptions'!$Q$7:$Q$10,'Capital Contribution Schedule'!B17)*$C$8</f>
        <v>0</v>
      </c>
      <c r="E17" s="14">
        <f t="shared" si="1"/>
        <v>0</v>
      </c>
    </row>
    <row r="18" spans="2:5" x14ac:dyDescent="0.4">
      <c r="B18" s="1">
        <f t="shared" si="2"/>
        <v>2025</v>
      </c>
      <c r="C18" s="2">
        <f>SUMIFS('Summary Inputs &amp; Assumptions'!$U$15:$U$18,'Summary Inputs &amp; Assumptions'!$Q$7:$Q$10,'Capital Contribution Schedule'!B18)*$C$7</f>
        <v>0</v>
      </c>
      <c r="D18" s="2">
        <f>SUMIFS('Summary Inputs &amp; Assumptions'!$V$15:$V$18,'Summary Inputs &amp; Assumptions'!$Q$7:$Q$10,'Capital Contribution Schedule'!B18)*$C$8</f>
        <v>0</v>
      </c>
      <c r="E18" s="14">
        <f t="shared" si="1"/>
        <v>0</v>
      </c>
    </row>
    <row r="19" spans="2:5" x14ac:dyDescent="0.4">
      <c r="B19" s="1">
        <f t="shared" si="2"/>
        <v>2026</v>
      </c>
      <c r="C19" s="2">
        <f>SUMIFS('Summary Inputs &amp; Assumptions'!$U$15:$U$18,'Summary Inputs &amp; Assumptions'!$Q$7:$Q$10,'Capital Contribution Schedule'!B19)*$C$7</f>
        <v>0</v>
      </c>
      <c r="D19" s="2">
        <f>SUMIFS('Summary Inputs &amp; Assumptions'!$V$15:$V$18,'Summary Inputs &amp; Assumptions'!$Q$7:$Q$10,'Capital Contribution Schedule'!B19)*$C$8</f>
        <v>0</v>
      </c>
      <c r="E19" s="14">
        <f t="shared" si="1"/>
        <v>0</v>
      </c>
    </row>
    <row r="20" spans="2:5" x14ac:dyDescent="0.4">
      <c r="B20" s="1">
        <f t="shared" si="2"/>
        <v>2027</v>
      </c>
      <c r="C20" s="2">
        <f>SUMIFS('Summary Inputs &amp; Assumptions'!$U$15:$U$18,'Summary Inputs &amp; Assumptions'!$Q$7:$Q$10,'Capital Contribution Schedule'!B20)*$C$7</f>
        <v>0</v>
      </c>
      <c r="D20" s="2">
        <f>SUMIFS('Summary Inputs &amp; Assumptions'!$V$15:$V$18,'Summary Inputs &amp; Assumptions'!$Q$7:$Q$10,'Capital Contribution Schedule'!B20)*$C$8</f>
        <v>0</v>
      </c>
      <c r="E20" s="14">
        <f t="shared" si="1"/>
        <v>0</v>
      </c>
    </row>
    <row r="21" spans="2:5" x14ac:dyDescent="0.4">
      <c r="B21" s="1">
        <f t="shared" si="2"/>
        <v>2028</v>
      </c>
      <c r="C21" s="2">
        <f>SUMIFS('Summary Inputs &amp; Assumptions'!$U$15:$U$18,'Summary Inputs &amp; Assumptions'!$Q$7:$Q$10,'Capital Contribution Schedule'!B21)*$C$7</f>
        <v>0</v>
      </c>
      <c r="D21" s="2">
        <f>SUMIFS('Summary Inputs &amp; Assumptions'!$V$15:$V$18,'Summary Inputs &amp; Assumptions'!$Q$7:$Q$10,'Capital Contribution Schedule'!B21)*$C$8</f>
        <v>0</v>
      </c>
      <c r="E21" s="14">
        <f t="shared" si="1"/>
        <v>0</v>
      </c>
    </row>
    <row r="22" spans="2:5" x14ac:dyDescent="0.4">
      <c r="B22" s="1">
        <f t="shared" si="2"/>
        <v>2029</v>
      </c>
      <c r="C22" s="2">
        <f>SUMIFS('Summary Inputs &amp; Assumptions'!$U$15:$U$18,'Summary Inputs &amp; Assumptions'!$Q$7:$Q$10,'Capital Contribution Schedule'!B22)*$C$7</f>
        <v>0</v>
      </c>
      <c r="D22" s="2">
        <f>SUMIFS('Summary Inputs &amp; Assumptions'!$V$15:$V$18,'Summary Inputs &amp; Assumptions'!$Q$7:$Q$10,'Capital Contribution Schedule'!B22)*$C$8</f>
        <v>0</v>
      </c>
      <c r="E22" s="14">
        <f t="shared" ref="E22:E34" si="3">C22+D22</f>
        <v>0</v>
      </c>
    </row>
    <row r="23" spans="2:5" x14ac:dyDescent="0.4">
      <c r="B23" s="1">
        <f t="shared" si="2"/>
        <v>2030</v>
      </c>
      <c r="C23" s="2">
        <f>SUMIFS('Summary Inputs &amp; Assumptions'!$U$15:$U$18,'Summary Inputs &amp; Assumptions'!$Q$7:$Q$10,'Capital Contribution Schedule'!B23)*$C$7</f>
        <v>0</v>
      </c>
      <c r="D23" s="2">
        <f>SUMIFS('Summary Inputs &amp; Assumptions'!$V$15:$V$18,'Summary Inputs &amp; Assumptions'!$Q$7:$Q$10,'Capital Contribution Schedule'!B23)*$C$8</f>
        <v>0</v>
      </c>
      <c r="E23" s="14">
        <f t="shared" si="3"/>
        <v>0</v>
      </c>
    </row>
    <row r="24" spans="2:5" x14ac:dyDescent="0.4">
      <c r="B24" s="1">
        <f t="shared" si="2"/>
        <v>2031</v>
      </c>
      <c r="C24" s="2">
        <f>SUMIFS('Summary Inputs &amp; Assumptions'!$U$15:$U$18,'Summary Inputs &amp; Assumptions'!$Q$7:$Q$10,'Capital Contribution Schedule'!B24)*$C$7</f>
        <v>0</v>
      </c>
      <c r="D24" s="2">
        <f>SUMIFS('Summary Inputs &amp; Assumptions'!$V$15:$V$18,'Summary Inputs &amp; Assumptions'!$Q$7:$Q$10,'Capital Contribution Schedule'!B24)*$C$8</f>
        <v>0</v>
      </c>
      <c r="E24" s="14">
        <f t="shared" si="3"/>
        <v>0</v>
      </c>
    </row>
    <row r="25" spans="2:5" x14ac:dyDescent="0.4">
      <c r="B25" s="1">
        <f t="shared" si="2"/>
        <v>2032</v>
      </c>
      <c r="C25" s="2">
        <f>SUMIFS('Summary Inputs &amp; Assumptions'!$U$15:$U$18,'Summary Inputs &amp; Assumptions'!$Q$7:$Q$10,'Capital Contribution Schedule'!B25)*$C$7</f>
        <v>0</v>
      </c>
      <c r="D25" s="2">
        <f>SUMIFS('Summary Inputs &amp; Assumptions'!$V$15:$V$18,'Summary Inputs &amp; Assumptions'!$Q$7:$Q$10,'Capital Contribution Schedule'!B25)*$C$8</f>
        <v>0</v>
      </c>
      <c r="E25" s="14">
        <f t="shared" si="3"/>
        <v>0</v>
      </c>
    </row>
    <row r="26" spans="2:5" x14ac:dyDescent="0.4">
      <c r="B26" s="1">
        <f t="shared" si="2"/>
        <v>2033</v>
      </c>
      <c r="C26" s="2">
        <f>SUMIFS('Summary Inputs &amp; Assumptions'!$U$15:$U$18,'Summary Inputs &amp; Assumptions'!$Q$7:$Q$10,'Capital Contribution Schedule'!B26)*$C$7</f>
        <v>0</v>
      </c>
      <c r="D26" s="2">
        <f>SUMIFS('Summary Inputs &amp; Assumptions'!$V$15:$V$18,'Summary Inputs &amp; Assumptions'!$Q$7:$Q$10,'Capital Contribution Schedule'!B26)*$C$8</f>
        <v>0</v>
      </c>
      <c r="E26" s="14">
        <f t="shared" si="3"/>
        <v>0</v>
      </c>
    </row>
    <row r="27" spans="2:5" x14ac:dyDescent="0.4">
      <c r="B27" s="1">
        <f t="shared" si="2"/>
        <v>2034</v>
      </c>
      <c r="C27" s="2">
        <f>SUMIFS('Summary Inputs &amp; Assumptions'!$U$15:$U$18,'Summary Inputs &amp; Assumptions'!$Q$7:$Q$10,'Capital Contribution Schedule'!B27)*$C$7</f>
        <v>0</v>
      </c>
      <c r="D27" s="2">
        <f>SUMIFS('Summary Inputs &amp; Assumptions'!$V$15:$V$18,'Summary Inputs &amp; Assumptions'!$Q$7:$Q$10,'Capital Contribution Schedule'!B27)*$C$8</f>
        <v>0</v>
      </c>
      <c r="E27" s="14">
        <f t="shared" si="3"/>
        <v>0</v>
      </c>
    </row>
    <row r="28" spans="2:5" x14ac:dyDescent="0.4">
      <c r="B28" s="1">
        <f t="shared" si="2"/>
        <v>2035</v>
      </c>
      <c r="C28" s="2">
        <f>SUMIFS('Summary Inputs &amp; Assumptions'!$U$15:$U$18,'Summary Inputs &amp; Assumptions'!$Q$7:$Q$10,'Capital Contribution Schedule'!B28)*$C$7</f>
        <v>0</v>
      </c>
      <c r="D28" s="2">
        <f>SUMIFS('Summary Inputs &amp; Assumptions'!$V$15:$V$18,'Summary Inputs &amp; Assumptions'!$Q$7:$Q$10,'Capital Contribution Schedule'!B28)*$C$8</f>
        <v>0</v>
      </c>
      <c r="E28" s="14">
        <f t="shared" si="3"/>
        <v>0</v>
      </c>
    </row>
    <row r="29" spans="2:5" x14ac:dyDescent="0.4">
      <c r="B29" s="1">
        <f t="shared" si="2"/>
        <v>2036</v>
      </c>
      <c r="C29" s="2">
        <f>SUMIFS('Summary Inputs &amp; Assumptions'!$U$15:$U$18,'Summary Inputs &amp; Assumptions'!$Q$7:$Q$10,'Capital Contribution Schedule'!B29)*$C$7</f>
        <v>0</v>
      </c>
      <c r="D29" s="2">
        <f>SUMIFS('Summary Inputs &amp; Assumptions'!$V$15:$V$18,'Summary Inputs &amp; Assumptions'!$Q$7:$Q$10,'Capital Contribution Schedule'!B29)*$C$8</f>
        <v>0</v>
      </c>
      <c r="E29" s="14">
        <f t="shared" si="3"/>
        <v>0</v>
      </c>
    </row>
    <row r="30" spans="2:5" x14ac:dyDescent="0.4">
      <c r="B30" s="1">
        <f t="shared" si="2"/>
        <v>2037</v>
      </c>
      <c r="C30" s="2">
        <f>SUMIFS('Summary Inputs &amp; Assumptions'!$U$15:$U$18,'Summary Inputs &amp; Assumptions'!$Q$7:$Q$10,'Capital Contribution Schedule'!B30)*$C$7</f>
        <v>0</v>
      </c>
      <c r="D30" s="2">
        <f>SUMIFS('Summary Inputs &amp; Assumptions'!$V$15:$V$18,'Summary Inputs &amp; Assumptions'!$Q$7:$Q$10,'Capital Contribution Schedule'!B30)*$C$8</f>
        <v>0</v>
      </c>
      <c r="E30" s="14">
        <f t="shared" si="3"/>
        <v>0</v>
      </c>
    </row>
    <row r="31" spans="2:5" x14ac:dyDescent="0.4">
      <c r="B31" s="1">
        <f t="shared" si="2"/>
        <v>2038</v>
      </c>
      <c r="C31" s="2">
        <f>SUMIFS('Summary Inputs &amp; Assumptions'!$U$15:$U$18,'Summary Inputs &amp; Assumptions'!$Q$7:$Q$10,'Capital Contribution Schedule'!B31)*$C$7</f>
        <v>0</v>
      </c>
      <c r="D31" s="2">
        <f>SUMIFS('Summary Inputs &amp; Assumptions'!$V$15:$V$18,'Summary Inputs &amp; Assumptions'!$Q$7:$Q$10,'Capital Contribution Schedule'!B31)*$C$8</f>
        <v>0</v>
      </c>
      <c r="E31" s="14">
        <f t="shared" si="3"/>
        <v>0</v>
      </c>
    </row>
    <row r="32" spans="2:5" x14ac:dyDescent="0.4">
      <c r="B32" s="1">
        <f t="shared" si="2"/>
        <v>2039</v>
      </c>
      <c r="C32" s="2">
        <f>SUMIFS('Summary Inputs &amp; Assumptions'!$U$15:$U$18,'Summary Inputs &amp; Assumptions'!$Q$7:$Q$10,'Capital Contribution Schedule'!B32)*$C$7</f>
        <v>0</v>
      </c>
      <c r="D32" s="2">
        <f>SUMIFS('Summary Inputs &amp; Assumptions'!$V$15:$V$18,'Summary Inputs &amp; Assumptions'!$Q$7:$Q$10,'Capital Contribution Schedule'!B32)*$C$8</f>
        <v>0</v>
      </c>
      <c r="E32" s="14">
        <f t="shared" si="3"/>
        <v>0</v>
      </c>
    </row>
    <row r="33" spans="2:5" x14ac:dyDescent="0.4">
      <c r="B33" s="1">
        <f t="shared" si="2"/>
        <v>2040</v>
      </c>
      <c r="C33" s="2">
        <f>SUMIFS('Summary Inputs &amp; Assumptions'!$U$15:$U$18,'Summary Inputs &amp; Assumptions'!$Q$7:$Q$10,'Capital Contribution Schedule'!B33)*$C$7</f>
        <v>0</v>
      </c>
      <c r="D33" s="2">
        <f>SUMIFS('Summary Inputs &amp; Assumptions'!$V$15:$V$18,'Summary Inputs &amp; Assumptions'!$Q$7:$Q$10,'Capital Contribution Schedule'!B33)*$C$8</f>
        <v>0</v>
      </c>
      <c r="E33" s="14">
        <f t="shared" si="3"/>
        <v>0</v>
      </c>
    </row>
    <row r="34" spans="2:5" x14ac:dyDescent="0.4">
      <c r="B34" s="1">
        <f t="shared" si="2"/>
        <v>2041</v>
      </c>
      <c r="C34" s="2">
        <f>SUMIFS('Summary Inputs &amp; Assumptions'!$U$15:$U$18,'Summary Inputs &amp; Assumptions'!$Q$7:$Q$10,'Capital Contribution Schedule'!B34)*$C$7</f>
        <v>0</v>
      </c>
      <c r="D34" s="2">
        <f>SUMIFS('Summary Inputs &amp; Assumptions'!$V$15:$V$18,'Summary Inputs &amp; Assumptions'!$Q$7:$Q$10,'Capital Contribution Schedule'!B34)*$C$8</f>
        <v>0</v>
      </c>
      <c r="E34" s="14">
        <f t="shared" si="3"/>
        <v>0</v>
      </c>
    </row>
    <row r="36" spans="2:5" ht="11.7" thickBot="1" x14ac:dyDescent="0.45">
      <c r="B36" s="16"/>
      <c r="C36" s="17">
        <f>SUM(C15:C22)</f>
        <v>1704542.4000000001</v>
      </c>
      <c r="D36" s="17">
        <f>SUM(D14:D22)</f>
        <v>2429093.6005217852</v>
      </c>
      <c r="E36" s="17"/>
    </row>
    <row r="37" spans="2:5" ht="11.7" thickTop="1" x14ac:dyDescent="0.4"/>
  </sheetData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38</vt:i4>
      </vt:variant>
    </vt:vector>
  </HeadingPairs>
  <TitlesOfParts>
    <vt:vector size="45" baseType="lpstr">
      <vt:lpstr>Table of Content</vt:lpstr>
      <vt:lpstr>Overview</vt:lpstr>
      <vt:lpstr>Influence Chart</vt:lpstr>
      <vt:lpstr>Summary Inputs &amp; Assumptions</vt:lpstr>
      <vt:lpstr>Financial Statements</vt:lpstr>
      <vt:lpstr>Debt</vt:lpstr>
      <vt:lpstr>Capital Contribution Schedule</vt:lpstr>
      <vt:lpstr>All_in_Development_Cost</vt:lpstr>
      <vt:lpstr>Amortization_period</vt:lpstr>
      <vt:lpstr>Annual_Degradation</vt:lpstr>
      <vt:lpstr>Asset_Mgmt</vt:lpstr>
      <vt:lpstr>Capacity_Factor</vt:lpstr>
      <vt:lpstr>CO2_offset</vt:lpstr>
      <vt:lpstr>Construction_Start_Date</vt:lpstr>
      <vt:lpstr>Construction_Time</vt:lpstr>
      <vt:lpstr>Debt_Coverage_P50</vt:lpstr>
      <vt:lpstr>Debt_Coverage_P99</vt:lpstr>
      <vt:lpstr>Depreciation</vt:lpstr>
      <vt:lpstr>Insurance</vt:lpstr>
      <vt:lpstr>Interest_Rate</vt:lpstr>
      <vt:lpstr>Irradiation</vt:lpstr>
      <vt:lpstr>ITC_Percentage</vt:lpstr>
      <vt:lpstr>Land_Cost</vt:lpstr>
      <vt:lpstr>Max_Debt</vt:lpstr>
      <vt:lpstr>O_M</vt:lpstr>
      <vt:lpstr>O_M_Annual_Escalation</vt:lpstr>
      <vt:lpstr>Operating_Life</vt:lpstr>
      <vt:lpstr>Other</vt:lpstr>
      <vt:lpstr>Percentage_of_production_in_Year_1</vt:lpstr>
      <vt:lpstr>Placement_in_Service_Date</vt:lpstr>
      <vt:lpstr>PPA_Escalator</vt:lpstr>
      <vt:lpstr>PPA_Rate</vt:lpstr>
      <vt:lpstr>PPA_Term</vt:lpstr>
      <vt:lpstr>'Capital Contribution Schedule'!Print_Area</vt:lpstr>
      <vt:lpstr>Debt!Print_Area</vt:lpstr>
      <vt:lpstr>'Financial Statements'!Print_Area</vt:lpstr>
      <vt:lpstr>'Summary Inputs &amp; Assumptions'!Print_Area</vt:lpstr>
      <vt:lpstr>'Table of Content'!Print_Area</vt:lpstr>
      <vt:lpstr>Project_Size_AC</vt:lpstr>
      <vt:lpstr>Project_Size_DC</vt:lpstr>
      <vt:lpstr>Property_Tax</vt:lpstr>
      <vt:lpstr>Site_Lease</vt:lpstr>
      <vt:lpstr>Site_Leaset_Annual_Escalation</vt:lpstr>
      <vt:lpstr>Tax_Rate</vt:lpstr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Rabiu Ahmad</dc:creator>
  <cp:lastModifiedBy>pranav mekala</cp:lastModifiedBy>
  <cp:lastPrinted>2025-09-11T22:26:30Z</cp:lastPrinted>
  <dcterms:created xsi:type="dcterms:W3CDTF">2022-05-09T22:38:34Z</dcterms:created>
  <dcterms:modified xsi:type="dcterms:W3CDTF">2026-02-09T04:34:33Z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2022-05-09T22:38:36Z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8b21b5ab-4000-4940-a0ae-7dae127f2494</vt:lpwstr>
  </property>
  <property fmtid="{D5CDD505-2E9C-101B-9397-08002B2CF9AE}" pid="8" name="MSIP_Label_320df1db-9955-4087-a541-42c2f5a9332e_ContentBits">
    <vt:lpwstr>0</vt:lpwstr>
  </property>
  <property fmtid="{D5CDD505-2E9C-101B-9397-08002B2CF9AE}" pid="9" name="{A44787D4-0540-4523-9961-78E4036D8C6D}">
    <vt:lpwstr>{793DE1B1-3D3C-472D-B456-95E7130DF830}</vt:lpwstr>
  </property>
</Properties>
</file>